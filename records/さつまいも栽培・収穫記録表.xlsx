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畝マスター" sheetId="2" state="visible" r:id="rId2"/>
    <sheet name="収穫記録" sheetId="3" state="visible" r:id="rId3"/>
    <sheet name="貯蔵記録" sheetId="4" state="visible" r:id="rId4"/>
    <sheet name="販売記録" sheetId="5" state="visible" r:id="rId5"/>
    <sheet name="畝比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"/>
    <numFmt numFmtId="166" formatCode="#,##0;-#,##0;-"/>
  </numFmts>
  <fonts count="8">
    <font>
      <name val="Calibri"/>
      <family val="2"/>
      <color theme="1"/>
      <sz val="11"/>
      <scheme val="minor"/>
    </font>
    <font>
      <name val="Arial"/>
    </font>
    <font>
      <name val="Arial"/>
      <b val="1"/>
      <color rgb="002E6B3F"/>
      <sz val="14"/>
    </font>
    <font>
      <name val="Arial"/>
      <b val="1"/>
    </font>
    <font>
      <name val="Arial"/>
      <color rgb="000000FF"/>
    </font>
    <font>
      <name val="Arial"/>
      <color rgb="00000000"/>
    </font>
    <font>
      <name val="Arial"/>
      <b val="1"/>
      <color rgb="00FFFFFF"/>
    </font>
    <font>
      <name val="Arial"/>
      <i val="1"/>
      <color rgb="00666666"/>
    </font>
  </fonts>
  <fills count="5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EEF4EF"/>
      </patternFill>
    </fill>
    <fill>
      <patternFill patternType="solid">
        <fgColor rgb="002E6B3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164" fontId="4" fillId="2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4" fillId="2" borderId="1" pivotButton="0" quotePrefix="0" xfId="0"/>
    <xf numFmtId="2" fontId="5" fillId="3" borderId="1" pivotButton="0" quotePrefix="0" xfId="0"/>
    <xf numFmtId="1" fontId="5" fillId="3" borderId="1" pivotButton="0" quotePrefix="0" xfId="0"/>
    <xf numFmtId="9" fontId="5" fillId="3" borderId="1" pivotButton="0" quotePrefix="0" xfId="0"/>
    <xf numFmtId="3" fontId="4" fillId="2" borderId="1" pivotButton="0" quotePrefix="0" xfId="0"/>
    <xf numFmtId="9" fontId="4" fillId="2" borderId="1" pivotButton="0" quotePrefix="0" xfId="0"/>
    <xf numFmtId="3" fontId="5" fillId="3" borderId="1" pivotButton="0" quotePrefix="0" xfId="0"/>
    <xf numFmtId="166" fontId="5" fillId="3" borderId="1" pivotButton="0" quotePrefix="0" xfId="0"/>
    <xf numFmtId="0" fontId="7" fillId="0" borderId="0" pivotButton="0" quotePrefix="0" xfId="0"/>
    <xf numFmtId="0" fontId="6" fillId="4" borderId="1" applyAlignment="1" pivotButton="0" quotePrefix="0" xfId="0">
      <alignment horizontal="center"/>
    </xf>
    <xf numFmtId="0" fontId="1" fillId="0" borderId="1" pivotButton="0" quotePrefix="0" xfId="0"/>
    <xf numFmtId="165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さつまいも栽培・収穫記録表（RRG）</t>
        </is>
      </c>
    </row>
    <row r="2">
      <c r="A2" s="2" t="inlineStr">
        <is>
          <t>作成日</t>
        </is>
      </c>
      <c r="B2" s="3" t="inlineStr">
        <is>
          <t>2026年9月29日</t>
        </is>
      </c>
    </row>
    <row r="3">
      <c r="A3" s="2" t="inlineStr"/>
    </row>
    <row r="4">
      <c r="A4" s="4" t="inlineStr">
        <is>
          <t>■ 入力のルール</t>
        </is>
      </c>
    </row>
    <row r="5">
      <c r="A5" s="5" t="inlineStr">
        <is>
          <t>黄色のセル・青字</t>
        </is>
      </c>
      <c r="B5" s="3" t="inlineStr">
        <is>
          <t>ここに入力します</t>
        </is>
      </c>
    </row>
    <row r="6">
      <c r="A6" s="6" t="inlineStr">
        <is>
          <t>緑のセル・黒字</t>
        </is>
      </c>
      <c r="B6" s="3" t="inlineStr">
        <is>
          <t>自動で計算されます（入力しないでください）</t>
        </is>
      </c>
    </row>
    <row r="7">
      <c r="A7" s="2" t="inlineStr">
        <is>
          <t>収穫ID</t>
        </is>
      </c>
      <c r="B7" s="3" t="inlineStr">
        <is>
          <t>H-001 のように連番で振ります。貯蔵記録と販売記録はこのIDでつながります</t>
        </is>
      </c>
    </row>
    <row r="8">
      <c r="A8" s="2" t="inlineStr"/>
    </row>
    <row r="9">
      <c r="A9" s="4" t="inlineStr">
        <is>
          <t>■ シートの構成</t>
        </is>
      </c>
    </row>
    <row r="10">
      <c r="A10" s="2" t="inlineStr">
        <is>
          <t>畝マスター</t>
        </is>
      </c>
      <c r="B10" s="3" t="inlineStr">
        <is>
          <t>畝ごとの品種・苗・定植日・日当たり。1回だけ入力します（A畝・B畝は植物管理シートの内容から転記済み）</t>
        </is>
      </c>
    </row>
    <row r="11">
      <c r="A11" s="2" t="inlineStr">
        <is>
          <t>収穫記録</t>
        </is>
      </c>
      <c r="B11" s="3" t="inlineStr">
        <is>
          <t>掘った日ごとに1行。収量・サイズ別本数・状態を記録します</t>
        </is>
      </c>
    </row>
    <row r="12">
      <c r="A12" s="2" t="inlineStr">
        <is>
          <t>貯蔵記録</t>
        </is>
      </c>
      <c r="B12" s="3" t="inlineStr">
        <is>
          <t>貯蔵中の温度・湿度・傷み・甘さを週1回程度記録します</t>
        </is>
      </c>
    </row>
    <row r="13">
      <c r="A13" s="2" t="inlineStr">
        <is>
          <t>販売記録</t>
        </is>
      </c>
      <c r="B13" s="3" t="inlineStr">
        <is>
          <t>売れた日ごとに1行。手数料・送料を差し引いた利益が自動計算されます</t>
        </is>
      </c>
    </row>
    <row r="14">
      <c r="A14" s="2" t="inlineStr">
        <is>
          <t>畝比較</t>
        </is>
      </c>
      <c r="B14" s="3" t="inlineStr">
        <is>
          <t>A畝とB畝（苗の入手先・日当たりの違い）の結果を自動で比較します</t>
        </is>
      </c>
    </row>
    <row r="15">
      <c r="A15" s="2" t="inlineStr"/>
    </row>
    <row r="16">
      <c r="A16" s="4" t="inlineStr">
        <is>
          <t>■ サイズ規格（目安）</t>
        </is>
      </c>
    </row>
    <row r="17">
      <c r="A17" s="2" t="inlineStr">
        <is>
          <t>2L</t>
        </is>
      </c>
      <c r="B17" s="3" t="inlineStr">
        <is>
          <t>1本 400g以上</t>
        </is>
      </c>
    </row>
    <row r="18">
      <c r="A18" s="2" t="inlineStr">
        <is>
          <t>L</t>
        </is>
      </c>
      <c r="B18" s="3" t="inlineStr">
        <is>
          <t>300〜400g</t>
        </is>
      </c>
    </row>
    <row r="19">
      <c r="A19" s="2" t="inlineStr">
        <is>
          <t>M</t>
        </is>
      </c>
      <c r="B19" s="3" t="inlineStr">
        <is>
          <t>200〜300g</t>
        </is>
      </c>
    </row>
    <row r="20">
      <c r="A20" s="2" t="inlineStr">
        <is>
          <t>S</t>
        </is>
      </c>
      <c r="B20" s="3" t="inlineStr">
        <is>
          <t>100〜200g</t>
        </is>
      </c>
    </row>
    <row r="21">
      <c r="A21" s="2" t="inlineStr">
        <is>
          <t>規格外</t>
        </is>
      </c>
      <c r="B21" s="3" t="inlineStr">
        <is>
          <t>100g未満、極端な変形、大きな割れ（加工用・自家用に回す）</t>
        </is>
      </c>
    </row>
    <row r="22">
      <c r="A22" s="2" t="inlineStr">
        <is>
          <t>注</t>
        </is>
      </c>
      <c r="B22" s="3" t="inlineStr">
        <is>
          <t>上記はRRGの暫定基準です。出荷先の規格があればそちらに合わせて変更してください</t>
        </is>
      </c>
    </row>
    <row r="23">
      <c r="A23" s="2" t="inlineStr"/>
    </row>
    <row r="24">
      <c r="A24" s="4" t="inlineStr">
        <is>
          <t>■ 収穫記録の記入例</t>
        </is>
      </c>
    </row>
    <row r="25">
      <c r="A25" s="2" t="inlineStr">
        <is>
          <t>例</t>
        </is>
      </c>
      <c r="B25" s="3" t="inlineStr">
        <is>
          <t>H-001｜2026/10/05｜A畝｜掘った株数 10｜晴れ｜土：適湿｜総収量 8.5kg｜2L 3・L 8・M 12・S 6・規格外 4｜傷・割れ 2｜虫害 1｜病気の疑い 0｜形 4｜皮色 4</t>
        </is>
      </c>
    </row>
    <row r="26">
      <c r="A26" s="2" t="inlineStr"/>
    </row>
    <row r="27">
      <c r="A27" s="4" t="inlineStr">
        <is>
          <t>■ 収穫と貯蔵のポイント（一般的な目安）</t>
        </is>
      </c>
    </row>
    <row r="28">
      <c r="A28" s="2" t="inlineStr">
        <is>
          <t>収穫日</t>
        </is>
      </c>
      <c r="B28" s="3" t="inlineStr">
        <is>
          <t>晴れが2〜3日続き、土が乾いている日に掘る。雨の直後は傷みやすい</t>
        </is>
      </c>
    </row>
    <row r="29">
      <c r="A29" s="2" t="inlineStr">
        <is>
          <t>掘り方</t>
        </is>
      </c>
      <c r="B29" s="3" t="inlineStr">
        <is>
          <t>芋を傷つけないよう株元から離して掘る。傷は腐敗の入口になる</t>
        </is>
      </c>
    </row>
    <row r="30">
      <c r="A30" s="2" t="inlineStr">
        <is>
          <t>収穫直後</t>
        </is>
      </c>
      <c r="B30" s="3" t="inlineStr">
        <is>
          <t>洗わずに、土を軽く落として半日〜1日陰干しする</t>
        </is>
      </c>
    </row>
    <row r="31">
      <c r="A31" s="2" t="inlineStr">
        <is>
          <t>貯蔵</t>
        </is>
      </c>
      <c r="B31" s="3" t="inlineStr">
        <is>
          <t>適温は13〜15℃、湿度は85〜90%程度。10℃以下では低温障害で傷みやすく、高温では芽が出て消耗する</t>
        </is>
      </c>
    </row>
    <row r="32">
      <c r="A32" s="2" t="inlineStr">
        <is>
          <t>甘み</t>
        </is>
      </c>
      <c r="B32" s="3" t="inlineStr">
        <is>
          <t>紅はるかは収穫後、数週間〜1か月ほど貯蔵すると甘みが増すとされる。販売は11月以降が有利</t>
        </is>
      </c>
    </row>
    <row r="33">
      <c r="A33" s="2" t="inlineStr"/>
    </row>
    <row r="34">
      <c r="A34" s="4" t="inlineStr">
        <is>
          <t>■ 法令・個人情報</t>
        </is>
      </c>
    </row>
    <row r="35">
      <c r="A35" s="2" t="inlineStr">
        <is>
          <t>種苗法</t>
        </is>
      </c>
      <c r="B35" s="3" t="inlineStr">
        <is>
          <t>紅はるかは登録品種の可能性が高い。芋（収穫物）の販売は可。苗やつる苗を増やして売らない</t>
        </is>
      </c>
    </row>
    <row r="36">
      <c r="A36" s="2" t="inlineStr">
        <is>
          <t>個人情報</t>
        </is>
      </c>
      <c r="B36" s="3" t="inlineStr">
        <is>
          <t>販売記録に購入者の氏名・住所は書かない（メルカリの取引画面で管理する）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0" customWidth="1" min="4" max="4"/>
    <col width="13" customWidth="1" min="5" max="5"/>
    <col width="14" customWidth="1" min="6" max="6"/>
    <col width="26" customWidth="1" min="7" max="7"/>
    <col width="26" customWidth="1" min="8" max="8"/>
    <col width="30" customWidth="1" min="9" max="9"/>
  </cols>
  <sheetData>
    <row r="1" ht="36" customHeight="1">
      <c r="A1" s="7" t="inlineStr">
        <is>
          <t>畝ID</t>
        </is>
      </c>
      <c r="B1" s="7" t="inlineStr">
        <is>
          <t>品種</t>
        </is>
      </c>
      <c r="C1" s="7" t="inlineStr">
        <is>
          <t>苗の入手先</t>
        </is>
      </c>
      <c r="D1" s="7" t="inlineStr">
        <is>
          <t>苗本数</t>
        </is>
      </c>
      <c r="E1" s="7" t="inlineStr">
        <is>
          <t>定植日</t>
        </is>
      </c>
      <c r="F1" s="7" t="inlineStr">
        <is>
          <t>日当たり</t>
        </is>
      </c>
      <c r="G1" s="7" t="inlineStr">
        <is>
          <t>土づくり・元肥</t>
        </is>
      </c>
      <c r="H1" s="7" t="inlineStr">
        <is>
          <t>追肥・管理</t>
        </is>
      </c>
      <c r="I1" s="7" t="inlineStr">
        <is>
          <t>備考</t>
        </is>
      </c>
    </row>
    <row r="2">
      <c r="A2" s="8" t="inlineStr">
        <is>
          <t>A畝</t>
        </is>
      </c>
      <c r="B2" s="8" t="inlineStr">
        <is>
          <t>紅はるか</t>
        </is>
      </c>
      <c r="C2" s="8" t="inlineStr">
        <is>
          <t>手島の苗（ネット購入）</t>
        </is>
      </c>
      <c r="D2" s="8" t="n"/>
      <c r="E2" s="9" t="n">
        <v>46143</v>
      </c>
      <c r="F2" s="8" t="inlineStr">
        <is>
          <t>良好</t>
        </is>
      </c>
      <c r="G2" s="8" t="n"/>
      <c r="H2" s="8" t="n"/>
      <c r="I2" s="8" t="inlineStr">
        <is>
          <t>植物管理シートより転記</t>
        </is>
      </c>
    </row>
    <row r="3">
      <c r="A3" s="8" t="inlineStr">
        <is>
          <t>B畝</t>
        </is>
      </c>
      <c r="B3" s="8" t="inlineStr">
        <is>
          <t>紅はるか</t>
        </is>
      </c>
      <c r="C3" s="8" t="inlineStr">
        <is>
          <t>コメリ購入</t>
        </is>
      </c>
      <c r="D3" s="8" t="n"/>
      <c r="E3" s="9" t="n">
        <v>46143</v>
      </c>
      <c r="F3" s="8" t="inlineStr">
        <is>
          <t>やや不利</t>
        </is>
      </c>
      <c r="G3" s="8" t="n"/>
      <c r="H3" s="8" t="n"/>
      <c r="I3" s="8" t="inlineStr">
        <is>
          <t>植物管理シートより転記</t>
        </is>
      </c>
    </row>
    <row r="4">
      <c r="A4" s="8" t="n"/>
      <c r="B4" s="8" t="n"/>
      <c r="C4" s="8" t="n"/>
      <c r="D4" s="8" t="n"/>
      <c r="E4" s="9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9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8" t="n"/>
    </row>
  </sheetData>
  <dataValidations count="1">
    <dataValidation sqref="F2:F21" showDropDown="0" showInputMessage="0" showErrorMessage="0" allowBlank="1" type="list">
      <formula1>"良好,普通,やや不利,不良"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2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1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0" customWidth="1" min="17" max="17"/>
    <col width="10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8" customWidth="1" min="24" max="24"/>
    <col width="22" customWidth="1" min="25" max="25"/>
    <col width="28" customWidth="1" min="26" max="26"/>
  </cols>
  <sheetData>
    <row r="1" ht="36" customHeight="1">
      <c r="A1" s="7" t="inlineStr">
        <is>
          <t>収穫ID</t>
        </is>
      </c>
      <c r="B1" s="7" t="inlineStr">
        <is>
          <t>収穫日</t>
        </is>
      </c>
      <c r="C1" s="7" t="inlineStr">
        <is>
          <t>畝ID</t>
        </is>
      </c>
      <c r="D1" s="7" t="inlineStr">
        <is>
          <t>品種
(自動)</t>
        </is>
      </c>
      <c r="E1" s="7" t="inlineStr">
        <is>
          <t>定植日
(自動)</t>
        </is>
      </c>
      <c r="F1" s="7" t="inlineStr">
        <is>
          <t>栽培日数
(自動)</t>
        </is>
      </c>
      <c r="G1" s="7" t="inlineStr">
        <is>
          <t>掘った
株数</t>
        </is>
      </c>
      <c r="H1" s="7" t="inlineStr">
        <is>
          <t>天候
(当日)</t>
        </is>
      </c>
      <c r="I1" s="7" t="inlineStr">
        <is>
          <t>土の状態</t>
        </is>
      </c>
      <c r="J1" s="7" t="inlineStr">
        <is>
          <t>総収量
(kg)</t>
        </is>
      </c>
      <c r="K1" s="7" t="inlineStr">
        <is>
          <t>株あたり
収量kg
(自動)</t>
        </is>
      </c>
      <c r="L1" s="7" t="inlineStr">
        <is>
          <t>2L
本数</t>
        </is>
      </c>
      <c r="M1" s="7" t="inlineStr">
        <is>
          <t>L
本数</t>
        </is>
      </c>
      <c r="N1" s="7" t="inlineStr">
        <is>
          <t>M
本数</t>
        </is>
      </c>
      <c r="O1" s="7" t="inlineStr">
        <is>
          <t>S
本数</t>
        </is>
      </c>
      <c r="P1" s="7" t="inlineStr">
        <is>
          <t>規格外
本数</t>
        </is>
      </c>
      <c r="Q1" s="7" t="inlineStr">
        <is>
          <t>合計本数
(自動)</t>
        </is>
      </c>
      <c r="R1" s="7" t="inlineStr">
        <is>
          <t>平均重量
g/本
(自動)</t>
        </is>
      </c>
      <c r="S1" s="7" t="inlineStr">
        <is>
          <t>傷・割れ
本数</t>
        </is>
      </c>
      <c r="T1" s="7" t="inlineStr">
        <is>
          <t>虫害
本数</t>
        </is>
      </c>
      <c r="U1" s="7" t="inlineStr">
        <is>
          <t>病気の
疑い本数</t>
        </is>
      </c>
      <c r="V1" s="7" t="inlineStr">
        <is>
          <t>良品率
(自動)</t>
        </is>
      </c>
      <c r="W1" s="7" t="inlineStr">
        <is>
          <t>形の良さ
1〜5</t>
        </is>
      </c>
      <c r="X1" s="7" t="inlineStr">
        <is>
          <t>皮色
1〜5</t>
        </is>
      </c>
      <c r="Y1" s="7" t="inlineStr">
        <is>
          <t>写真URL</t>
        </is>
      </c>
      <c r="Z1" s="7" t="inlineStr">
        <is>
          <t>備考</t>
        </is>
      </c>
    </row>
    <row r="2">
      <c r="A2" s="8" t="n"/>
      <c r="B2" s="9" t="n"/>
      <c r="C2" s="8" t="n"/>
      <c r="D2" s="10">
        <f>IF($C2="","",IFERROR(INDEX(畝マスター!$B$2:$B$21,MATCH($C2,畝マスター!$A$2:$A$21,0)),""))</f>
        <v/>
      </c>
      <c r="E2" s="11">
        <f>IF($C2="","",IFERROR(INDEX(畝マスター!$E$2:$E$21,MATCH($C2,畝マスター!$A$2:$A$21,0)),""))</f>
        <v/>
      </c>
      <c r="F2" s="10">
        <f>IF(OR($B2="",$E2=""),"",$B2-$E2)</f>
        <v/>
      </c>
      <c r="G2" s="8" t="n"/>
      <c r="H2" s="8" t="n"/>
      <c r="I2" s="8" t="n"/>
      <c r="J2" s="12" t="n"/>
      <c r="K2" s="13">
        <f>IF(OR($J2="",N($G2)=0),"",$J2/$G2)</f>
        <v/>
      </c>
      <c r="L2" s="8" t="n"/>
      <c r="M2" s="8" t="n"/>
      <c r="N2" s="8" t="n"/>
      <c r="O2" s="8" t="n"/>
      <c r="P2" s="8" t="n"/>
      <c r="Q2" s="10">
        <f>IF(COUNT($L2:$P2)=0,"",SUM($L2:$P2))</f>
        <v/>
      </c>
      <c r="R2" s="14">
        <f>IF(OR($J2="",N($Q2)=0),"",$J2*1000/$Q2)</f>
        <v/>
      </c>
      <c r="S2" s="8" t="n"/>
      <c r="T2" s="8" t="n"/>
      <c r="U2" s="8" t="n"/>
      <c r="V2" s="15">
        <f>IF(N($Q2)=0,"",MAX(0,($Q2-$P2-SUM($S2:$U2)))/$Q2)</f>
        <v/>
      </c>
      <c r="W2" s="8" t="n"/>
      <c r="X2" s="8" t="n"/>
      <c r="Y2" s="8" t="n"/>
      <c r="Z2" s="8" t="n"/>
    </row>
    <row r="3">
      <c r="A3" s="8" t="n"/>
      <c r="B3" s="9" t="n"/>
      <c r="C3" s="8" t="n"/>
      <c r="D3" s="10">
        <f>IF($C3="","",IFERROR(INDEX(畝マスター!$B$2:$B$21,MATCH($C3,畝マスター!$A$2:$A$21,0)),""))</f>
        <v/>
      </c>
      <c r="E3" s="11">
        <f>IF($C3="","",IFERROR(INDEX(畝マスター!$E$2:$E$21,MATCH($C3,畝マスター!$A$2:$A$21,0)),""))</f>
        <v/>
      </c>
      <c r="F3" s="10">
        <f>IF(OR($B3="",$E3=""),"",$B3-$E3)</f>
        <v/>
      </c>
      <c r="G3" s="8" t="n"/>
      <c r="H3" s="8" t="n"/>
      <c r="I3" s="8" t="n"/>
      <c r="J3" s="12" t="n"/>
      <c r="K3" s="13">
        <f>IF(OR($J3="",N($G3)=0),"",$J3/$G3)</f>
        <v/>
      </c>
      <c r="L3" s="8" t="n"/>
      <c r="M3" s="8" t="n"/>
      <c r="N3" s="8" t="n"/>
      <c r="O3" s="8" t="n"/>
      <c r="P3" s="8" t="n"/>
      <c r="Q3" s="10">
        <f>IF(COUNT($L3:$P3)=0,"",SUM($L3:$P3))</f>
        <v/>
      </c>
      <c r="R3" s="14">
        <f>IF(OR($J3="",N($Q3)=0),"",$J3*1000/$Q3)</f>
        <v/>
      </c>
      <c r="S3" s="8" t="n"/>
      <c r="T3" s="8" t="n"/>
      <c r="U3" s="8" t="n"/>
      <c r="V3" s="15">
        <f>IF(N($Q3)=0,"",MAX(0,($Q3-$P3-SUM($S3:$U3)))/$Q3)</f>
        <v/>
      </c>
      <c r="W3" s="8" t="n"/>
      <c r="X3" s="8" t="n"/>
      <c r="Y3" s="8" t="n"/>
      <c r="Z3" s="8" t="n"/>
    </row>
    <row r="4">
      <c r="A4" s="8" t="n"/>
      <c r="B4" s="9" t="n"/>
      <c r="C4" s="8" t="n"/>
      <c r="D4" s="10">
        <f>IF($C4="","",IFERROR(INDEX(畝マスター!$B$2:$B$21,MATCH($C4,畝マスター!$A$2:$A$21,0)),""))</f>
        <v/>
      </c>
      <c r="E4" s="11">
        <f>IF($C4="","",IFERROR(INDEX(畝マスター!$E$2:$E$21,MATCH($C4,畝マスター!$A$2:$A$21,0)),""))</f>
        <v/>
      </c>
      <c r="F4" s="10">
        <f>IF(OR($B4="",$E4=""),"",$B4-$E4)</f>
        <v/>
      </c>
      <c r="G4" s="8" t="n"/>
      <c r="H4" s="8" t="n"/>
      <c r="I4" s="8" t="n"/>
      <c r="J4" s="12" t="n"/>
      <c r="K4" s="13">
        <f>IF(OR($J4="",N($G4)=0),"",$J4/$G4)</f>
        <v/>
      </c>
      <c r="L4" s="8" t="n"/>
      <c r="M4" s="8" t="n"/>
      <c r="N4" s="8" t="n"/>
      <c r="O4" s="8" t="n"/>
      <c r="P4" s="8" t="n"/>
      <c r="Q4" s="10">
        <f>IF(COUNT($L4:$P4)=0,"",SUM($L4:$P4))</f>
        <v/>
      </c>
      <c r="R4" s="14">
        <f>IF(OR($J4="",N($Q4)=0),"",$J4*1000/$Q4)</f>
        <v/>
      </c>
      <c r="S4" s="8" t="n"/>
      <c r="T4" s="8" t="n"/>
      <c r="U4" s="8" t="n"/>
      <c r="V4" s="15">
        <f>IF(N($Q4)=0,"",MAX(0,($Q4-$P4-SUM($S4:$U4)))/$Q4)</f>
        <v/>
      </c>
      <c r="W4" s="8" t="n"/>
      <c r="X4" s="8" t="n"/>
      <c r="Y4" s="8" t="n"/>
      <c r="Z4" s="8" t="n"/>
    </row>
    <row r="5">
      <c r="A5" s="8" t="n"/>
      <c r="B5" s="9" t="n"/>
      <c r="C5" s="8" t="n"/>
      <c r="D5" s="10">
        <f>IF($C5="","",IFERROR(INDEX(畝マスター!$B$2:$B$21,MATCH($C5,畝マスター!$A$2:$A$21,0)),""))</f>
        <v/>
      </c>
      <c r="E5" s="11">
        <f>IF($C5="","",IFERROR(INDEX(畝マスター!$E$2:$E$21,MATCH($C5,畝マスター!$A$2:$A$21,0)),""))</f>
        <v/>
      </c>
      <c r="F5" s="10">
        <f>IF(OR($B5="",$E5=""),"",$B5-$E5)</f>
        <v/>
      </c>
      <c r="G5" s="8" t="n"/>
      <c r="H5" s="8" t="n"/>
      <c r="I5" s="8" t="n"/>
      <c r="J5" s="12" t="n"/>
      <c r="K5" s="13">
        <f>IF(OR($J5="",N($G5)=0),"",$J5/$G5)</f>
        <v/>
      </c>
      <c r="L5" s="8" t="n"/>
      <c r="M5" s="8" t="n"/>
      <c r="N5" s="8" t="n"/>
      <c r="O5" s="8" t="n"/>
      <c r="P5" s="8" t="n"/>
      <c r="Q5" s="10">
        <f>IF(COUNT($L5:$P5)=0,"",SUM($L5:$P5))</f>
        <v/>
      </c>
      <c r="R5" s="14">
        <f>IF(OR($J5="",N($Q5)=0),"",$J5*1000/$Q5)</f>
        <v/>
      </c>
      <c r="S5" s="8" t="n"/>
      <c r="T5" s="8" t="n"/>
      <c r="U5" s="8" t="n"/>
      <c r="V5" s="15">
        <f>IF(N($Q5)=0,"",MAX(0,($Q5-$P5-SUM($S5:$U5)))/$Q5)</f>
        <v/>
      </c>
      <c r="W5" s="8" t="n"/>
      <c r="X5" s="8" t="n"/>
      <c r="Y5" s="8" t="n"/>
      <c r="Z5" s="8" t="n"/>
    </row>
    <row r="6">
      <c r="A6" s="8" t="n"/>
      <c r="B6" s="9" t="n"/>
      <c r="C6" s="8" t="n"/>
      <c r="D6" s="10">
        <f>IF($C6="","",IFERROR(INDEX(畝マスター!$B$2:$B$21,MATCH($C6,畝マスター!$A$2:$A$21,0)),""))</f>
        <v/>
      </c>
      <c r="E6" s="11">
        <f>IF($C6="","",IFERROR(INDEX(畝マスター!$E$2:$E$21,MATCH($C6,畝マスター!$A$2:$A$21,0)),""))</f>
        <v/>
      </c>
      <c r="F6" s="10">
        <f>IF(OR($B6="",$E6=""),"",$B6-$E6)</f>
        <v/>
      </c>
      <c r="G6" s="8" t="n"/>
      <c r="H6" s="8" t="n"/>
      <c r="I6" s="8" t="n"/>
      <c r="J6" s="12" t="n"/>
      <c r="K6" s="13">
        <f>IF(OR($J6="",N($G6)=0),"",$J6/$G6)</f>
        <v/>
      </c>
      <c r="L6" s="8" t="n"/>
      <c r="M6" s="8" t="n"/>
      <c r="N6" s="8" t="n"/>
      <c r="O6" s="8" t="n"/>
      <c r="P6" s="8" t="n"/>
      <c r="Q6" s="10">
        <f>IF(COUNT($L6:$P6)=0,"",SUM($L6:$P6))</f>
        <v/>
      </c>
      <c r="R6" s="14">
        <f>IF(OR($J6="",N($Q6)=0),"",$J6*1000/$Q6)</f>
        <v/>
      </c>
      <c r="S6" s="8" t="n"/>
      <c r="T6" s="8" t="n"/>
      <c r="U6" s="8" t="n"/>
      <c r="V6" s="15">
        <f>IF(N($Q6)=0,"",MAX(0,($Q6-$P6-SUM($S6:$U6)))/$Q6)</f>
        <v/>
      </c>
      <c r="W6" s="8" t="n"/>
      <c r="X6" s="8" t="n"/>
      <c r="Y6" s="8" t="n"/>
      <c r="Z6" s="8" t="n"/>
    </row>
    <row r="7">
      <c r="A7" s="8" t="n"/>
      <c r="B7" s="9" t="n"/>
      <c r="C7" s="8" t="n"/>
      <c r="D7" s="10">
        <f>IF($C7="","",IFERROR(INDEX(畝マスター!$B$2:$B$21,MATCH($C7,畝マスター!$A$2:$A$21,0)),""))</f>
        <v/>
      </c>
      <c r="E7" s="11">
        <f>IF($C7="","",IFERROR(INDEX(畝マスター!$E$2:$E$21,MATCH($C7,畝マスター!$A$2:$A$21,0)),""))</f>
        <v/>
      </c>
      <c r="F7" s="10">
        <f>IF(OR($B7="",$E7=""),"",$B7-$E7)</f>
        <v/>
      </c>
      <c r="G7" s="8" t="n"/>
      <c r="H7" s="8" t="n"/>
      <c r="I7" s="8" t="n"/>
      <c r="J7" s="12" t="n"/>
      <c r="K7" s="13">
        <f>IF(OR($J7="",N($G7)=0),"",$J7/$G7)</f>
        <v/>
      </c>
      <c r="L7" s="8" t="n"/>
      <c r="M7" s="8" t="n"/>
      <c r="N7" s="8" t="n"/>
      <c r="O7" s="8" t="n"/>
      <c r="P7" s="8" t="n"/>
      <c r="Q7" s="10">
        <f>IF(COUNT($L7:$P7)=0,"",SUM($L7:$P7))</f>
        <v/>
      </c>
      <c r="R7" s="14">
        <f>IF(OR($J7="",N($Q7)=0),"",$J7*1000/$Q7)</f>
        <v/>
      </c>
      <c r="S7" s="8" t="n"/>
      <c r="T7" s="8" t="n"/>
      <c r="U7" s="8" t="n"/>
      <c r="V7" s="15">
        <f>IF(N($Q7)=0,"",MAX(0,($Q7-$P7-SUM($S7:$U7)))/$Q7)</f>
        <v/>
      </c>
      <c r="W7" s="8" t="n"/>
      <c r="X7" s="8" t="n"/>
      <c r="Y7" s="8" t="n"/>
      <c r="Z7" s="8" t="n"/>
    </row>
    <row r="8">
      <c r="A8" s="8" t="n"/>
      <c r="B8" s="9" t="n"/>
      <c r="C8" s="8" t="n"/>
      <c r="D8" s="10">
        <f>IF($C8="","",IFERROR(INDEX(畝マスター!$B$2:$B$21,MATCH($C8,畝マスター!$A$2:$A$21,0)),""))</f>
        <v/>
      </c>
      <c r="E8" s="11">
        <f>IF($C8="","",IFERROR(INDEX(畝マスター!$E$2:$E$21,MATCH($C8,畝マスター!$A$2:$A$21,0)),""))</f>
        <v/>
      </c>
      <c r="F8" s="10">
        <f>IF(OR($B8="",$E8=""),"",$B8-$E8)</f>
        <v/>
      </c>
      <c r="G8" s="8" t="n"/>
      <c r="H8" s="8" t="n"/>
      <c r="I8" s="8" t="n"/>
      <c r="J8" s="12" t="n"/>
      <c r="K8" s="13">
        <f>IF(OR($J8="",N($G8)=0),"",$J8/$G8)</f>
        <v/>
      </c>
      <c r="L8" s="8" t="n"/>
      <c r="M8" s="8" t="n"/>
      <c r="N8" s="8" t="n"/>
      <c r="O8" s="8" t="n"/>
      <c r="P8" s="8" t="n"/>
      <c r="Q8" s="10">
        <f>IF(COUNT($L8:$P8)=0,"",SUM($L8:$P8))</f>
        <v/>
      </c>
      <c r="R8" s="14">
        <f>IF(OR($J8="",N($Q8)=0),"",$J8*1000/$Q8)</f>
        <v/>
      </c>
      <c r="S8" s="8" t="n"/>
      <c r="T8" s="8" t="n"/>
      <c r="U8" s="8" t="n"/>
      <c r="V8" s="15">
        <f>IF(N($Q8)=0,"",MAX(0,($Q8-$P8-SUM($S8:$U8)))/$Q8)</f>
        <v/>
      </c>
      <c r="W8" s="8" t="n"/>
      <c r="X8" s="8" t="n"/>
      <c r="Y8" s="8" t="n"/>
      <c r="Z8" s="8" t="n"/>
    </row>
    <row r="9">
      <c r="A9" s="8" t="n"/>
      <c r="B9" s="9" t="n"/>
      <c r="C9" s="8" t="n"/>
      <c r="D9" s="10">
        <f>IF($C9="","",IFERROR(INDEX(畝マスター!$B$2:$B$21,MATCH($C9,畝マスター!$A$2:$A$21,0)),""))</f>
        <v/>
      </c>
      <c r="E9" s="11">
        <f>IF($C9="","",IFERROR(INDEX(畝マスター!$E$2:$E$21,MATCH($C9,畝マスター!$A$2:$A$21,0)),""))</f>
        <v/>
      </c>
      <c r="F9" s="10">
        <f>IF(OR($B9="",$E9=""),"",$B9-$E9)</f>
        <v/>
      </c>
      <c r="G9" s="8" t="n"/>
      <c r="H9" s="8" t="n"/>
      <c r="I9" s="8" t="n"/>
      <c r="J9" s="12" t="n"/>
      <c r="K9" s="13">
        <f>IF(OR($J9="",N($G9)=0),"",$J9/$G9)</f>
        <v/>
      </c>
      <c r="L9" s="8" t="n"/>
      <c r="M9" s="8" t="n"/>
      <c r="N9" s="8" t="n"/>
      <c r="O9" s="8" t="n"/>
      <c r="P9" s="8" t="n"/>
      <c r="Q9" s="10">
        <f>IF(COUNT($L9:$P9)=0,"",SUM($L9:$P9))</f>
        <v/>
      </c>
      <c r="R9" s="14">
        <f>IF(OR($J9="",N($Q9)=0),"",$J9*1000/$Q9)</f>
        <v/>
      </c>
      <c r="S9" s="8" t="n"/>
      <c r="T9" s="8" t="n"/>
      <c r="U9" s="8" t="n"/>
      <c r="V9" s="15">
        <f>IF(N($Q9)=0,"",MAX(0,($Q9-$P9-SUM($S9:$U9)))/$Q9)</f>
        <v/>
      </c>
      <c r="W9" s="8" t="n"/>
      <c r="X9" s="8" t="n"/>
      <c r="Y9" s="8" t="n"/>
      <c r="Z9" s="8" t="n"/>
    </row>
    <row r="10">
      <c r="A10" s="8" t="n"/>
      <c r="B10" s="9" t="n"/>
      <c r="C10" s="8" t="n"/>
      <c r="D10" s="10">
        <f>IF($C10="","",IFERROR(INDEX(畝マスター!$B$2:$B$21,MATCH($C10,畝マスター!$A$2:$A$21,0)),""))</f>
        <v/>
      </c>
      <c r="E10" s="11">
        <f>IF($C10="","",IFERROR(INDEX(畝マスター!$E$2:$E$21,MATCH($C10,畝マスター!$A$2:$A$21,0)),""))</f>
        <v/>
      </c>
      <c r="F10" s="10">
        <f>IF(OR($B10="",$E10=""),"",$B10-$E10)</f>
        <v/>
      </c>
      <c r="G10" s="8" t="n"/>
      <c r="H10" s="8" t="n"/>
      <c r="I10" s="8" t="n"/>
      <c r="J10" s="12" t="n"/>
      <c r="K10" s="13">
        <f>IF(OR($J10="",N($G10)=0),"",$J10/$G10)</f>
        <v/>
      </c>
      <c r="L10" s="8" t="n"/>
      <c r="M10" s="8" t="n"/>
      <c r="N10" s="8" t="n"/>
      <c r="O10" s="8" t="n"/>
      <c r="P10" s="8" t="n"/>
      <c r="Q10" s="10">
        <f>IF(COUNT($L10:$P10)=0,"",SUM($L10:$P10))</f>
        <v/>
      </c>
      <c r="R10" s="14">
        <f>IF(OR($J10="",N($Q10)=0),"",$J10*1000/$Q10)</f>
        <v/>
      </c>
      <c r="S10" s="8" t="n"/>
      <c r="T10" s="8" t="n"/>
      <c r="U10" s="8" t="n"/>
      <c r="V10" s="15">
        <f>IF(N($Q10)=0,"",MAX(0,($Q10-$P10-SUM($S10:$U10)))/$Q10)</f>
        <v/>
      </c>
      <c r="W10" s="8" t="n"/>
      <c r="X10" s="8" t="n"/>
      <c r="Y10" s="8" t="n"/>
      <c r="Z10" s="8" t="n"/>
    </row>
    <row r="11">
      <c r="A11" s="8" t="n"/>
      <c r="B11" s="9" t="n"/>
      <c r="C11" s="8" t="n"/>
      <c r="D11" s="10">
        <f>IF($C11="","",IFERROR(INDEX(畝マスター!$B$2:$B$21,MATCH($C11,畝マスター!$A$2:$A$21,0)),""))</f>
        <v/>
      </c>
      <c r="E11" s="11">
        <f>IF($C11="","",IFERROR(INDEX(畝マスター!$E$2:$E$21,MATCH($C11,畝マスター!$A$2:$A$21,0)),""))</f>
        <v/>
      </c>
      <c r="F11" s="10">
        <f>IF(OR($B11="",$E11=""),"",$B11-$E11)</f>
        <v/>
      </c>
      <c r="G11" s="8" t="n"/>
      <c r="H11" s="8" t="n"/>
      <c r="I11" s="8" t="n"/>
      <c r="J11" s="12" t="n"/>
      <c r="K11" s="13">
        <f>IF(OR($J11="",N($G11)=0),"",$J11/$G11)</f>
        <v/>
      </c>
      <c r="L11" s="8" t="n"/>
      <c r="M11" s="8" t="n"/>
      <c r="N11" s="8" t="n"/>
      <c r="O11" s="8" t="n"/>
      <c r="P11" s="8" t="n"/>
      <c r="Q11" s="10">
        <f>IF(COUNT($L11:$P11)=0,"",SUM($L11:$P11))</f>
        <v/>
      </c>
      <c r="R11" s="14">
        <f>IF(OR($J11="",N($Q11)=0),"",$J11*1000/$Q11)</f>
        <v/>
      </c>
      <c r="S11" s="8" t="n"/>
      <c r="T11" s="8" t="n"/>
      <c r="U11" s="8" t="n"/>
      <c r="V11" s="15">
        <f>IF(N($Q11)=0,"",MAX(0,($Q11-$P11-SUM($S11:$U11)))/$Q11)</f>
        <v/>
      </c>
      <c r="W11" s="8" t="n"/>
      <c r="X11" s="8" t="n"/>
      <c r="Y11" s="8" t="n"/>
      <c r="Z11" s="8" t="n"/>
    </row>
    <row r="12">
      <c r="A12" s="8" t="n"/>
      <c r="B12" s="9" t="n"/>
      <c r="C12" s="8" t="n"/>
      <c r="D12" s="10">
        <f>IF($C12="","",IFERROR(INDEX(畝マスター!$B$2:$B$21,MATCH($C12,畝マスター!$A$2:$A$21,0)),""))</f>
        <v/>
      </c>
      <c r="E12" s="11">
        <f>IF($C12="","",IFERROR(INDEX(畝マスター!$E$2:$E$21,MATCH($C12,畝マスター!$A$2:$A$21,0)),""))</f>
        <v/>
      </c>
      <c r="F12" s="10">
        <f>IF(OR($B12="",$E12=""),"",$B12-$E12)</f>
        <v/>
      </c>
      <c r="G12" s="8" t="n"/>
      <c r="H12" s="8" t="n"/>
      <c r="I12" s="8" t="n"/>
      <c r="J12" s="12" t="n"/>
      <c r="K12" s="13">
        <f>IF(OR($J12="",N($G12)=0),"",$J12/$G12)</f>
        <v/>
      </c>
      <c r="L12" s="8" t="n"/>
      <c r="M12" s="8" t="n"/>
      <c r="N12" s="8" t="n"/>
      <c r="O12" s="8" t="n"/>
      <c r="P12" s="8" t="n"/>
      <c r="Q12" s="10">
        <f>IF(COUNT($L12:$P12)=0,"",SUM($L12:$P12))</f>
        <v/>
      </c>
      <c r="R12" s="14">
        <f>IF(OR($J12="",N($Q12)=0),"",$J12*1000/$Q12)</f>
        <v/>
      </c>
      <c r="S12" s="8" t="n"/>
      <c r="T12" s="8" t="n"/>
      <c r="U12" s="8" t="n"/>
      <c r="V12" s="15">
        <f>IF(N($Q12)=0,"",MAX(0,($Q12-$P12-SUM($S12:$U12)))/$Q12)</f>
        <v/>
      </c>
      <c r="W12" s="8" t="n"/>
      <c r="X12" s="8" t="n"/>
      <c r="Y12" s="8" t="n"/>
      <c r="Z12" s="8" t="n"/>
    </row>
    <row r="13">
      <c r="A13" s="8" t="n"/>
      <c r="B13" s="9" t="n"/>
      <c r="C13" s="8" t="n"/>
      <c r="D13" s="10">
        <f>IF($C13="","",IFERROR(INDEX(畝マスター!$B$2:$B$21,MATCH($C13,畝マスター!$A$2:$A$21,0)),""))</f>
        <v/>
      </c>
      <c r="E13" s="11">
        <f>IF($C13="","",IFERROR(INDEX(畝マスター!$E$2:$E$21,MATCH($C13,畝マスター!$A$2:$A$21,0)),""))</f>
        <v/>
      </c>
      <c r="F13" s="10">
        <f>IF(OR($B13="",$E13=""),"",$B13-$E13)</f>
        <v/>
      </c>
      <c r="G13" s="8" t="n"/>
      <c r="H13" s="8" t="n"/>
      <c r="I13" s="8" t="n"/>
      <c r="J13" s="12" t="n"/>
      <c r="K13" s="13">
        <f>IF(OR($J13="",N($G13)=0),"",$J13/$G13)</f>
        <v/>
      </c>
      <c r="L13" s="8" t="n"/>
      <c r="M13" s="8" t="n"/>
      <c r="N13" s="8" t="n"/>
      <c r="O13" s="8" t="n"/>
      <c r="P13" s="8" t="n"/>
      <c r="Q13" s="10">
        <f>IF(COUNT($L13:$P13)=0,"",SUM($L13:$P13))</f>
        <v/>
      </c>
      <c r="R13" s="14">
        <f>IF(OR($J13="",N($Q13)=0),"",$J13*1000/$Q13)</f>
        <v/>
      </c>
      <c r="S13" s="8" t="n"/>
      <c r="T13" s="8" t="n"/>
      <c r="U13" s="8" t="n"/>
      <c r="V13" s="15">
        <f>IF(N($Q13)=0,"",MAX(0,($Q13-$P13-SUM($S13:$U13)))/$Q13)</f>
        <v/>
      </c>
      <c r="W13" s="8" t="n"/>
      <c r="X13" s="8" t="n"/>
      <c r="Y13" s="8" t="n"/>
      <c r="Z13" s="8" t="n"/>
    </row>
    <row r="14">
      <c r="A14" s="8" t="n"/>
      <c r="B14" s="9" t="n"/>
      <c r="C14" s="8" t="n"/>
      <c r="D14" s="10">
        <f>IF($C14="","",IFERROR(INDEX(畝マスター!$B$2:$B$21,MATCH($C14,畝マスター!$A$2:$A$21,0)),""))</f>
        <v/>
      </c>
      <c r="E14" s="11">
        <f>IF($C14="","",IFERROR(INDEX(畝マスター!$E$2:$E$21,MATCH($C14,畝マスター!$A$2:$A$21,0)),""))</f>
        <v/>
      </c>
      <c r="F14" s="10">
        <f>IF(OR($B14="",$E14=""),"",$B14-$E14)</f>
        <v/>
      </c>
      <c r="G14" s="8" t="n"/>
      <c r="H14" s="8" t="n"/>
      <c r="I14" s="8" t="n"/>
      <c r="J14" s="12" t="n"/>
      <c r="K14" s="13">
        <f>IF(OR($J14="",N($G14)=0),"",$J14/$G14)</f>
        <v/>
      </c>
      <c r="L14" s="8" t="n"/>
      <c r="M14" s="8" t="n"/>
      <c r="N14" s="8" t="n"/>
      <c r="O14" s="8" t="n"/>
      <c r="P14" s="8" t="n"/>
      <c r="Q14" s="10">
        <f>IF(COUNT($L14:$P14)=0,"",SUM($L14:$P14))</f>
        <v/>
      </c>
      <c r="R14" s="14">
        <f>IF(OR($J14="",N($Q14)=0),"",$J14*1000/$Q14)</f>
        <v/>
      </c>
      <c r="S14" s="8" t="n"/>
      <c r="T14" s="8" t="n"/>
      <c r="U14" s="8" t="n"/>
      <c r="V14" s="15">
        <f>IF(N($Q14)=0,"",MAX(0,($Q14-$P14-SUM($S14:$U14)))/$Q14)</f>
        <v/>
      </c>
      <c r="W14" s="8" t="n"/>
      <c r="X14" s="8" t="n"/>
      <c r="Y14" s="8" t="n"/>
      <c r="Z14" s="8" t="n"/>
    </row>
    <row r="15">
      <c r="A15" s="8" t="n"/>
      <c r="B15" s="9" t="n"/>
      <c r="C15" s="8" t="n"/>
      <c r="D15" s="10">
        <f>IF($C15="","",IFERROR(INDEX(畝マスター!$B$2:$B$21,MATCH($C15,畝マスター!$A$2:$A$21,0)),""))</f>
        <v/>
      </c>
      <c r="E15" s="11">
        <f>IF($C15="","",IFERROR(INDEX(畝マスター!$E$2:$E$21,MATCH($C15,畝マスター!$A$2:$A$21,0)),""))</f>
        <v/>
      </c>
      <c r="F15" s="10">
        <f>IF(OR($B15="",$E15=""),"",$B15-$E15)</f>
        <v/>
      </c>
      <c r="G15" s="8" t="n"/>
      <c r="H15" s="8" t="n"/>
      <c r="I15" s="8" t="n"/>
      <c r="J15" s="12" t="n"/>
      <c r="K15" s="13">
        <f>IF(OR($J15="",N($G15)=0),"",$J15/$G15)</f>
        <v/>
      </c>
      <c r="L15" s="8" t="n"/>
      <c r="M15" s="8" t="n"/>
      <c r="N15" s="8" t="n"/>
      <c r="O15" s="8" t="n"/>
      <c r="P15" s="8" t="n"/>
      <c r="Q15" s="10">
        <f>IF(COUNT($L15:$P15)=0,"",SUM($L15:$P15))</f>
        <v/>
      </c>
      <c r="R15" s="14">
        <f>IF(OR($J15="",N($Q15)=0),"",$J15*1000/$Q15)</f>
        <v/>
      </c>
      <c r="S15" s="8" t="n"/>
      <c r="T15" s="8" t="n"/>
      <c r="U15" s="8" t="n"/>
      <c r="V15" s="15">
        <f>IF(N($Q15)=0,"",MAX(0,($Q15-$P15-SUM($S15:$U15)))/$Q15)</f>
        <v/>
      </c>
      <c r="W15" s="8" t="n"/>
      <c r="X15" s="8" t="n"/>
      <c r="Y15" s="8" t="n"/>
      <c r="Z15" s="8" t="n"/>
    </row>
    <row r="16">
      <c r="A16" s="8" t="n"/>
      <c r="B16" s="9" t="n"/>
      <c r="C16" s="8" t="n"/>
      <c r="D16" s="10">
        <f>IF($C16="","",IFERROR(INDEX(畝マスター!$B$2:$B$21,MATCH($C16,畝マスター!$A$2:$A$21,0)),""))</f>
        <v/>
      </c>
      <c r="E16" s="11">
        <f>IF($C16="","",IFERROR(INDEX(畝マスター!$E$2:$E$21,MATCH($C16,畝マスター!$A$2:$A$21,0)),""))</f>
        <v/>
      </c>
      <c r="F16" s="10">
        <f>IF(OR($B16="",$E16=""),"",$B16-$E16)</f>
        <v/>
      </c>
      <c r="G16" s="8" t="n"/>
      <c r="H16" s="8" t="n"/>
      <c r="I16" s="8" t="n"/>
      <c r="J16" s="12" t="n"/>
      <c r="K16" s="13">
        <f>IF(OR($J16="",N($G16)=0),"",$J16/$G16)</f>
        <v/>
      </c>
      <c r="L16" s="8" t="n"/>
      <c r="M16" s="8" t="n"/>
      <c r="N16" s="8" t="n"/>
      <c r="O16" s="8" t="n"/>
      <c r="P16" s="8" t="n"/>
      <c r="Q16" s="10">
        <f>IF(COUNT($L16:$P16)=0,"",SUM($L16:$P16))</f>
        <v/>
      </c>
      <c r="R16" s="14">
        <f>IF(OR($J16="",N($Q16)=0),"",$J16*1000/$Q16)</f>
        <v/>
      </c>
      <c r="S16" s="8" t="n"/>
      <c r="T16" s="8" t="n"/>
      <c r="U16" s="8" t="n"/>
      <c r="V16" s="15">
        <f>IF(N($Q16)=0,"",MAX(0,($Q16-$P16-SUM($S16:$U16)))/$Q16)</f>
        <v/>
      </c>
      <c r="W16" s="8" t="n"/>
      <c r="X16" s="8" t="n"/>
      <c r="Y16" s="8" t="n"/>
      <c r="Z16" s="8" t="n"/>
    </row>
    <row r="17">
      <c r="A17" s="8" t="n"/>
      <c r="B17" s="9" t="n"/>
      <c r="C17" s="8" t="n"/>
      <c r="D17" s="10">
        <f>IF($C17="","",IFERROR(INDEX(畝マスター!$B$2:$B$21,MATCH($C17,畝マスター!$A$2:$A$21,0)),""))</f>
        <v/>
      </c>
      <c r="E17" s="11">
        <f>IF($C17="","",IFERROR(INDEX(畝マスター!$E$2:$E$21,MATCH($C17,畝マスター!$A$2:$A$21,0)),""))</f>
        <v/>
      </c>
      <c r="F17" s="10">
        <f>IF(OR($B17="",$E17=""),"",$B17-$E17)</f>
        <v/>
      </c>
      <c r="G17" s="8" t="n"/>
      <c r="H17" s="8" t="n"/>
      <c r="I17" s="8" t="n"/>
      <c r="J17" s="12" t="n"/>
      <c r="K17" s="13">
        <f>IF(OR($J17="",N($G17)=0),"",$J17/$G17)</f>
        <v/>
      </c>
      <c r="L17" s="8" t="n"/>
      <c r="M17" s="8" t="n"/>
      <c r="N17" s="8" t="n"/>
      <c r="O17" s="8" t="n"/>
      <c r="P17" s="8" t="n"/>
      <c r="Q17" s="10">
        <f>IF(COUNT($L17:$P17)=0,"",SUM($L17:$P17))</f>
        <v/>
      </c>
      <c r="R17" s="14">
        <f>IF(OR($J17="",N($Q17)=0),"",$J17*1000/$Q17)</f>
        <v/>
      </c>
      <c r="S17" s="8" t="n"/>
      <c r="T17" s="8" t="n"/>
      <c r="U17" s="8" t="n"/>
      <c r="V17" s="15">
        <f>IF(N($Q17)=0,"",MAX(0,($Q17-$P17-SUM($S17:$U17)))/$Q17)</f>
        <v/>
      </c>
      <c r="W17" s="8" t="n"/>
      <c r="X17" s="8" t="n"/>
      <c r="Y17" s="8" t="n"/>
      <c r="Z17" s="8" t="n"/>
    </row>
    <row r="18">
      <c r="A18" s="8" t="n"/>
      <c r="B18" s="9" t="n"/>
      <c r="C18" s="8" t="n"/>
      <c r="D18" s="10">
        <f>IF($C18="","",IFERROR(INDEX(畝マスター!$B$2:$B$21,MATCH($C18,畝マスター!$A$2:$A$21,0)),""))</f>
        <v/>
      </c>
      <c r="E18" s="11">
        <f>IF($C18="","",IFERROR(INDEX(畝マスター!$E$2:$E$21,MATCH($C18,畝マスター!$A$2:$A$21,0)),""))</f>
        <v/>
      </c>
      <c r="F18" s="10">
        <f>IF(OR($B18="",$E18=""),"",$B18-$E18)</f>
        <v/>
      </c>
      <c r="G18" s="8" t="n"/>
      <c r="H18" s="8" t="n"/>
      <c r="I18" s="8" t="n"/>
      <c r="J18" s="12" t="n"/>
      <c r="K18" s="13">
        <f>IF(OR($J18="",N($G18)=0),"",$J18/$G18)</f>
        <v/>
      </c>
      <c r="L18" s="8" t="n"/>
      <c r="M18" s="8" t="n"/>
      <c r="N18" s="8" t="n"/>
      <c r="O18" s="8" t="n"/>
      <c r="P18" s="8" t="n"/>
      <c r="Q18" s="10">
        <f>IF(COUNT($L18:$P18)=0,"",SUM($L18:$P18))</f>
        <v/>
      </c>
      <c r="R18" s="14">
        <f>IF(OR($J18="",N($Q18)=0),"",$J18*1000/$Q18)</f>
        <v/>
      </c>
      <c r="S18" s="8" t="n"/>
      <c r="T18" s="8" t="n"/>
      <c r="U18" s="8" t="n"/>
      <c r="V18" s="15">
        <f>IF(N($Q18)=0,"",MAX(0,($Q18-$P18-SUM($S18:$U18)))/$Q18)</f>
        <v/>
      </c>
      <c r="W18" s="8" t="n"/>
      <c r="X18" s="8" t="n"/>
      <c r="Y18" s="8" t="n"/>
      <c r="Z18" s="8" t="n"/>
    </row>
    <row r="19">
      <c r="A19" s="8" t="n"/>
      <c r="B19" s="9" t="n"/>
      <c r="C19" s="8" t="n"/>
      <c r="D19" s="10">
        <f>IF($C19="","",IFERROR(INDEX(畝マスター!$B$2:$B$21,MATCH($C19,畝マスター!$A$2:$A$21,0)),""))</f>
        <v/>
      </c>
      <c r="E19" s="11">
        <f>IF($C19="","",IFERROR(INDEX(畝マスター!$E$2:$E$21,MATCH($C19,畝マスター!$A$2:$A$21,0)),""))</f>
        <v/>
      </c>
      <c r="F19" s="10">
        <f>IF(OR($B19="",$E19=""),"",$B19-$E19)</f>
        <v/>
      </c>
      <c r="G19" s="8" t="n"/>
      <c r="H19" s="8" t="n"/>
      <c r="I19" s="8" t="n"/>
      <c r="J19" s="12" t="n"/>
      <c r="K19" s="13">
        <f>IF(OR($J19="",N($G19)=0),"",$J19/$G19)</f>
        <v/>
      </c>
      <c r="L19" s="8" t="n"/>
      <c r="M19" s="8" t="n"/>
      <c r="N19" s="8" t="n"/>
      <c r="O19" s="8" t="n"/>
      <c r="P19" s="8" t="n"/>
      <c r="Q19" s="10">
        <f>IF(COUNT($L19:$P19)=0,"",SUM($L19:$P19))</f>
        <v/>
      </c>
      <c r="R19" s="14">
        <f>IF(OR($J19="",N($Q19)=0),"",$J19*1000/$Q19)</f>
        <v/>
      </c>
      <c r="S19" s="8" t="n"/>
      <c r="T19" s="8" t="n"/>
      <c r="U19" s="8" t="n"/>
      <c r="V19" s="15">
        <f>IF(N($Q19)=0,"",MAX(0,($Q19-$P19-SUM($S19:$U19)))/$Q19)</f>
        <v/>
      </c>
      <c r="W19" s="8" t="n"/>
      <c r="X19" s="8" t="n"/>
      <c r="Y19" s="8" t="n"/>
      <c r="Z19" s="8" t="n"/>
    </row>
    <row r="20">
      <c r="A20" s="8" t="n"/>
      <c r="B20" s="9" t="n"/>
      <c r="C20" s="8" t="n"/>
      <c r="D20" s="10">
        <f>IF($C20="","",IFERROR(INDEX(畝マスター!$B$2:$B$21,MATCH($C20,畝マスター!$A$2:$A$21,0)),""))</f>
        <v/>
      </c>
      <c r="E20" s="11">
        <f>IF($C20="","",IFERROR(INDEX(畝マスター!$E$2:$E$21,MATCH($C20,畝マスター!$A$2:$A$21,0)),""))</f>
        <v/>
      </c>
      <c r="F20" s="10">
        <f>IF(OR($B20="",$E20=""),"",$B20-$E20)</f>
        <v/>
      </c>
      <c r="G20" s="8" t="n"/>
      <c r="H20" s="8" t="n"/>
      <c r="I20" s="8" t="n"/>
      <c r="J20" s="12" t="n"/>
      <c r="K20" s="13">
        <f>IF(OR($J20="",N($G20)=0),"",$J20/$G20)</f>
        <v/>
      </c>
      <c r="L20" s="8" t="n"/>
      <c r="M20" s="8" t="n"/>
      <c r="N20" s="8" t="n"/>
      <c r="O20" s="8" t="n"/>
      <c r="P20" s="8" t="n"/>
      <c r="Q20" s="10">
        <f>IF(COUNT($L20:$P20)=0,"",SUM($L20:$P20))</f>
        <v/>
      </c>
      <c r="R20" s="14">
        <f>IF(OR($J20="",N($Q20)=0),"",$J20*1000/$Q20)</f>
        <v/>
      </c>
      <c r="S20" s="8" t="n"/>
      <c r="T20" s="8" t="n"/>
      <c r="U20" s="8" t="n"/>
      <c r="V20" s="15">
        <f>IF(N($Q20)=0,"",MAX(0,($Q20-$P20-SUM($S20:$U20)))/$Q20)</f>
        <v/>
      </c>
      <c r="W20" s="8" t="n"/>
      <c r="X20" s="8" t="n"/>
      <c r="Y20" s="8" t="n"/>
      <c r="Z20" s="8" t="n"/>
    </row>
    <row r="21">
      <c r="A21" s="8" t="n"/>
      <c r="B21" s="9" t="n"/>
      <c r="C21" s="8" t="n"/>
      <c r="D21" s="10">
        <f>IF($C21="","",IFERROR(INDEX(畝マスター!$B$2:$B$21,MATCH($C21,畝マスター!$A$2:$A$21,0)),""))</f>
        <v/>
      </c>
      <c r="E21" s="11">
        <f>IF($C21="","",IFERROR(INDEX(畝マスター!$E$2:$E$21,MATCH($C21,畝マスター!$A$2:$A$21,0)),""))</f>
        <v/>
      </c>
      <c r="F21" s="10">
        <f>IF(OR($B21="",$E21=""),"",$B21-$E21)</f>
        <v/>
      </c>
      <c r="G21" s="8" t="n"/>
      <c r="H21" s="8" t="n"/>
      <c r="I21" s="8" t="n"/>
      <c r="J21" s="12" t="n"/>
      <c r="K21" s="13">
        <f>IF(OR($J21="",N($G21)=0),"",$J21/$G21)</f>
        <v/>
      </c>
      <c r="L21" s="8" t="n"/>
      <c r="M21" s="8" t="n"/>
      <c r="N21" s="8" t="n"/>
      <c r="O21" s="8" t="n"/>
      <c r="P21" s="8" t="n"/>
      <c r="Q21" s="10">
        <f>IF(COUNT($L21:$P21)=0,"",SUM($L21:$P21))</f>
        <v/>
      </c>
      <c r="R21" s="14">
        <f>IF(OR($J21="",N($Q21)=0),"",$J21*1000/$Q21)</f>
        <v/>
      </c>
      <c r="S21" s="8" t="n"/>
      <c r="T21" s="8" t="n"/>
      <c r="U21" s="8" t="n"/>
      <c r="V21" s="15">
        <f>IF(N($Q21)=0,"",MAX(0,($Q21-$P21-SUM($S21:$U21)))/$Q21)</f>
        <v/>
      </c>
      <c r="W21" s="8" t="n"/>
      <c r="X21" s="8" t="n"/>
      <c r="Y21" s="8" t="n"/>
      <c r="Z21" s="8" t="n"/>
    </row>
    <row r="22">
      <c r="A22" s="8" t="n"/>
      <c r="B22" s="9" t="n"/>
      <c r="C22" s="8" t="n"/>
      <c r="D22" s="10">
        <f>IF($C22="","",IFERROR(INDEX(畝マスター!$B$2:$B$21,MATCH($C22,畝マスター!$A$2:$A$21,0)),""))</f>
        <v/>
      </c>
      <c r="E22" s="11">
        <f>IF($C22="","",IFERROR(INDEX(畝マスター!$E$2:$E$21,MATCH($C22,畝マスター!$A$2:$A$21,0)),""))</f>
        <v/>
      </c>
      <c r="F22" s="10">
        <f>IF(OR($B22="",$E22=""),"",$B22-$E22)</f>
        <v/>
      </c>
      <c r="G22" s="8" t="n"/>
      <c r="H22" s="8" t="n"/>
      <c r="I22" s="8" t="n"/>
      <c r="J22" s="12" t="n"/>
      <c r="K22" s="13">
        <f>IF(OR($J22="",N($G22)=0),"",$J22/$G22)</f>
        <v/>
      </c>
      <c r="L22" s="8" t="n"/>
      <c r="M22" s="8" t="n"/>
      <c r="N22" s="8" t="n"/>
      <c r="O22" s="8" t="n"/>
      <c r="P22" s="8" t="n"/>
      <c r="Q22" s="10">
        <f>IF(COUNT($L22:$P22)=0,"",SUM($L22:$P22))</f>
        <v/>
      </c>
      <c r="R22" s="14">
        <f>IF(OR($J22="",N($Q22)=0),"",$J22*1000/$Q22)</f>
        <v/>
      </c>
      <c r="S22" s="8" t="n"/>
      <c r="T22" s="8" t="n"/>
      <c r="U22" s="8" t="n"/>
      <c r="V22" s="15">
        <f>IF(N($Q22)=0,"",MAX(0,($Q22-$P22-SUM($S22:$U22)))/$Q22)</f>
        <v/>
      </c>
      <c r="W22" s="8" t="n"/>
      <c r="X22" s="8" t="n"/>
      <c r="Y22" s="8" t="n"/>
      <c r="Z22" s="8" t="n"/>
    </row>
    <row r="23">
      <c r="A23" s="8" t="n"/>
      <c r="B23" s="9" t="n"/>
      <c r="C23" s="8" t="n"/>
      <c r="D23" s="10">
        <f>IF($C23="","",IFERROR(INDEX(畝マスター!$B$2:$B$21,MATCH($C23,畝マスター!$A$2:$A$21,0)),""))</f>
        <v/>
      </c>
      <c r="E23" s="11">
        <f>IF($C23="","",IFERROR(INDEX(畝マスター!$E$2:$E$21,MATCH($C23,畝マスター!$A$2:$A$21,0)),""))</f>
        <v/>
      </c>
      <c r="F23" s="10">
        <f>IF(OR($B23="",$E23=""),"",$B23-$E23)</f>
        <v/>
      </c>
      <c r="G23" s="8" t="n"/>
      <c r="H23" s="8" t="n"/>
      <c r="I23" s="8" t="n"/>
      <c r="J23" s="12" t="n"/>
      <c r="K23" s="13">
        <f>IF(OR($J23="",N($G23)=0),"",$J23/$G23)</f>
        <v/>
      </c>
      <c r="L23" s="8" t="n"/>
      <c r="M23" s="8" t="n"/>
      <c r="N23" s="8" t="n"/>
      <c r="O23" s="8" t="n"/>
      <c r="P23" s="8" t="n"/>
      <c r="Q23" s="10">
        <f>IF(COUNT($L23:$P23)=0,"",SUM($L23:$P23))</f>
        <v/>
      </c>
      <c r="R23" s="14">
        <f>IF(OR($J23="",N($Q23)=0),"",$J23*1000/$Q23)</f>
        <v/>
      </c>
      <c r="S23" s="8" t="n"/>
      <c r="T23" s="8" t="n"/>
      <c r="U23" s="8" t="n"/>
      <c r="V23" s="15">
        <f>IF(N($Q23)=0,"",MAX(0,($Q23-$P23-SUM($S23:$U23)))/$Q23)</f>
        <v/>
      </c>
      <c r="W23" s="8" t="n"/>
      <c r="X23" s="8" t="n"/>
      <c r="Y23" s="8" t="n"/>
      <c r="Z23" s="8" t="n"/>
    </row>
    <row r="24">
      <c r="A24" s="8" t="n"/>
      <c r="B24" s="9" t="n"/>
      <c r="C24" s="8" t="n"/>
      <c r="D24" s="10">
        <f>IF($C24="","",IFERROR(INDEX(畝マスター!$B$2:$B$21,MATCH($C24,畝マスター!$A$2:$A$21,0)),""))</f>
        <v/>
      </c>
      <c r="E24" s="11">
        <f>IF($C24="","",IFERROR(INDEX(畝マスター!$E$2:$E$21,MATCH($C24,畝マスター!$A$2:$A$21,0)),""))</f>
        <v/>
      </c>
      <c r="F24" s="10">
        <f>IF(OR($B24="",$E24=""),"",$B24-$E24)</f>
        <v/>
      </c>
      <c r="G24" s="8" t="n"/>
      <c r="H24" s="8" t="n"/>
      <c r="I24" s="8" t="n"/>
      <c r="J24" s="12" t="n"/>
      <c r="K24" s="13">
        <f>IF(OR($J24="",N($G24)=0),"",$J24/$G24)</f>
        <v/>
      </c>
      <c r="L24" s="8" t="n"/>
      <c r="M24" s="8" t="n"/>
      <c r="N24" s="8" t="n"/>
      <c r="O24" s="8" t="n"/>
      <c r="P24" s="8" t="n"/>
      <c r="Q24" s="10">
        <f>IF(COUNT($L24:$P24)=0,"",SUM($L24:$P24))</f>
        <v/>
      </c>
      <c r="R24" s="14">
        <f>IF(OR($J24="",N($Q24)=0),"",$J24*1000/$Q24)</f>
        <v/>
      </c>
      <c r="S24" s="8" t="n"/>
      <c r="T24" s="8" t="n"/>
      <c r="U24" s="8" t="n"/>
      <c r="V24" s="15">
        <f>IF(N($Q24)=0,"",MAX(0,($Q24-$P24-SUM($S24:$U24)))/$Q24)</f>
        <v/>
      </c>
      <c r="W24" s="8" t="n"/>
      <c r="X24" s="8" t="n"/>
      <c r="Y24" s="8" t="n"/>
      <c r="Z24" s="8" t="n"/>
    </row>
    <row r="25">
      <c r="A25" s="8" t="n"/>
      <c r="B25" s="9" t="n"/>
      <c r="C25" s="8" t="n"/>
      <c r="D25" s="10">
        <f>IF($C25="","",IFERROR(INDEX(畝マスター!$B$2:$B$21,MATCH($C25,畝マスター!$A$2:$A$21,0)),""))</f>
        <v/>
      </c>
      <c r="E25" s="11">
        <f>IF($C25="","",IFERROR(INDEX(畝マスター!$E$2:$E$21,MATCH($C25,畝マスター!$A$2:$A$21,0)),""))</f>
        <v/>
      </c>
      <c r="F25" s="10">
        <f>IF(OR($B25="",$E25=""),"",$B25-$E25)</f>
        <v/>
      </c>
      <c r="G25" s="8" t="n"/>
      <c r="H25" s="8" t="n"/>
      <c r="I25" s="8" t="n"/>
      <c r="J25" s="12" t="n"/>
      <c r="K25" s="13">
        <f>IF(OR($J25="",N($G25)=0),"",$J25/$G25)</f>
        <v/>
      </c>
      <c r="L25" s="8" t="n"/>
      <c r="M25" s="8" t="n"/>
      <c r="N25" s="8" t="n"/>
      <c r="O25" s="8" t="n"/>
      <c r="P25" s="8" t="n"/>
      <c r="Q25" s="10">
        <f>IF(COUNT($L25:$P25)=0,"",SUM($L25:$P25))</f>
        <v/>
      </c>
      <c r="R25" s="14">
        <f>IF(OR($J25="",N($Q25)=0),"",$J25*1000/$Q25)</f>
        <v/>
      </c>
      <c r="S25" s="8" t="n"/>
      <c r="T25" s="8" t="n"/>
      <c r="U25" s="8" t="n"/>
      <c r="V25" s="15">
        <f>IF(N($Q25)=0,"",MAX(0,($Q25-$P25-SUM($S25:$U25)))/$Q25)</f>
        <v/>
      </c>
      <c r="W25" s="8" t="n"/>
      <c r="X25" s="8" t="n"/>
      <c r="Y25" s="8" t="n"/>
      <c r="Z25" s="8" t="n"/>
    </row>
    <row r="26">
      <c r="A26" s="8" t="n"/>
      <c r="B26" s="9" t="n"/>
      <c r="C26" s="8" t="n"/>
      <c r="D26" s="10">
        <f>IF($C26="","",IFERROR(INDEX(畝マスター!$B$2:$B$21,MATCH($C26,畝マスター!$A$2:$A$21,0)),""))</f>
        <v/>
      </c>
      <c r="E26" s="11">
        <f>IF($C26="","",IFERROR(INDEX(畝マスター!$E$2:$E$21,MATCH($C26,畝マスター!$A$2:$A$21,0)),""))</f>
        <v/>
      </c>
      <c r="F26" s="10">
        <f>IF(OR($B26="",$E26=""),"",$B26-$E26)</f>
        <v/>
      </c>
      <c r="G26" s="8" t="n"/>
      <c r="H26" s="8" t="n"/>
      <c r="I26" s="8" t="n"/>
      <c r="J26" s="12" t="n"/>
      <c r="K26" s="13">
        <f>IF(OR($J26="",N($G26)=0),"",$J26/$G26)</f>
        <v/>
      </c>
      <c r="L26" s="8" t="n"/>
      <c r="M26" s="8" t="n"/>
      <c r="N26" s="8" t="n"/>
      <c r="O26" s="8" t="n"/>
      <c r="P26" s="8" t="n"/>
      <c r="Q26" s="10">
        <f>IF(COUNT($L26:$P26)=0,"",SUM($L26:$P26))</f>
        <v/>
      </c>
      <c r="R26" s="14">
        <f>IF(OR($J26="",N($Q26)=0),"",$J26*1000/$Q26)</f>
        <v/>
      </c>
      <c r="S26" s="8" t="n"/>
      <c r="T26" s="8" t="n"/>
      <c r="U26" s="8" t="n"/>
      <c r="V26" s="15">
        <f>IF(N($Q26)=0,"",MAX(0,($Q26-$P26-SUM($S26:$U26)))/$Q26)</f>
        <v/>
      </c>
      <c r="W26" s="8" t="n"/>
      <c r="X26" s="8" t="n"/>
      <c r="Y26" s="8" t="n"/>
      <c r="Z26" s="8" t="n"/>
    </row>
    <row r="27">
      <c r="A27" s="8" t="n"/>
      <c r="B27" s="9" t="n"/>
      <c r="C27" s="8" t="n"/>
      <c r="D27" s="10">
        <f>IF($C27="","",IFERROR(INDEX(畝マスター!$B$2:$B$21,MATCH($C27,畝マスター!$A$2:$A$21,0)),""))</f>
        <v/>
      </c>
      <c r="E27" s="11">
        <f>IF($C27="","",IFERROR(INDEX(畝マスター!$E$2:$E$21,MATCH($C27,畝マスター!$A$2:$A$21,0)),""))</f>
        <v/>
      </c>
      <c r="F27" s="10">
        <f>IF(OR($B27="",$E27=""),"",$B27-$E27)</f>
        <v/>
      </c>
      <c r="G27" s="8" t="n"/>
      <c r="H27" s="8" t="n"/>
      <c r="I27" s="8" t="n"/>
      <c r="J27" s="12" t="n"/>
      <c r="K27" s="13">
        <f>IF(OR($J27="",N($G27)=0),"",$J27/$G27)</f>
        <v/>
      </c>
      <c r="L27" s="8" t="n"/>
      <c r="M27" s="8" t="n"/>
      <c r="N27" s="8" t="n"/>
      <c r="O27" s="8" t="n"/>
      <c r="P27" s="8" t="n"/>
      <c r="Q27" s="10">
        <f>IF(COUNT($L27:$P27)=0,"",SUM($L27:$P27))</f>
        <v/>
      </c>
      <c r="R27" s="14">
        <f>IF(OR($J27="",N($Q27)=0),"",$J27*1000/$Q27)</f>
        <v/>
      </c>
      <c r="S27" s="8" t="n"/>
      <c r="T27" s="8" t="n"/>
      <c r="U27" s="8" t="n"/>
      <c r="V27" s="15">
        <f>IF(N($Q27)=0,"",MAX(0,($Q27-$P27-SUM($S27:$U27)))/$Q27)</f>
        <v/>
      </c>
      <c r="W27" s="8" t="n"/>
      <c r="X27" s="8" t="n"/>
      <c r="Y27" s="8" t="n"/>
      <c r="Z27" s="8" t="n"/>
    </row>
    <row r="28">
      <c r="A28" s="8" t="n"/>
      <c r="B28" s="9" t="n"/>
      <c r="C28" s="8" t="n"/>
      <c r="D28" s="10">
        <f>IF($C28="","",IFERROR(INDEX(畝マスター!$B$2:$B$21,MATCH($C28,畝マスター!$A$2:$A$21,0)),""))</f>
        <v/>
      </c>
      <c r="E28" s="11">
        <f>IF($C28="","",IFERROR(INDEX(畝マスター!$E$2:$E$21,MATCH($C28,畝マスター!$A$2:$A$21,0)),""))</f>
        <v/>
      </c>
      <c r="F28" s="10">
        <f>IF(OR($B28="",$E28=""),"",$B28-$E28)</f>
        <v/>
      </c>
      <c r="G28" s="8" t="n"/>
      <c r="H28" s="8" t="n"/>
      <c r="I28" s="8" t="n"/>
      <c r="J28" s="12" t="n"/>
      <c r="K28" s="13">
        <f>IF(OR($J28="",N($G28)=0),"",$J28/$G28)</f>
        <v/>
      </c>
      <c r="L28" s="8" t="n"/>
      <c r="M28" s="8" t="n"/>
      <c r="N28" s="8" t="n"/>
      <c r="O28" s="8" t="n"/>
      <c r="P28" s="8" t="n"/>
      <c r="Q28" s="10">
        <f>IF(COUNT($L28:$P28)=0,"",SUM($L28:$P28))</f>
        <v/>
      </c>
      <c r="R28" s="14">
        <f>IF(OR($J28="",N($Q28)=0),"",$J28*1000/$Q28)</f>
        <v/>
      </c>
      <c r="S28" s="8" t="n"/>
      <c r="T28" s="8" t="n"/>
      <c r="U28" s="8" t="n"/>
      <c r="V28" s="15">
        <f>IF(N($Q28)=0,"",MAX(0,($Q28-$P28-SUM($S28:$U28)))/$Q28)</f>
        <v/>
      </c>
      <c r="W28" s="8" t="n"/>
      <c r="X28" s="8" t="n"/>
      <c r="Y28" s="8" t="n"/>
      <c r="Z28" s="8" t="n"/>
    </row>
    <row r="29">
      <c r="A29" s="8" t="n"/>
      <c r="B29" s="9" t="n"/>
      <c r="C29" s="8" t="n"/>
      <c r="D29" s="10">
        <f>IF($C29="","",IFERROR(INDEX(畝マスター!$B$2:$B$21,MATCH($C29,畝マスター!$A$2:$A$21,0)),""))</f>
        <v/>
      </c>
      <c r="E29" s="11">
        <f>IF($C29="","",IFERROR(INDEX(畝マスター!$E$2:$E$21,MATCH($C29,畝マスター!$A$2:$A$21,0)),""))</f>
        <v/>
      </c>
      <c r="F29" s="10">
        <f>IF(OR($B29="",$E29=""),"",$B29-$E29)</f>
        <v/>
      </c>
      <c r="G29" s="8" t="n"/>
      <c r="H29" s="8" t="n"/>
      <c r="I29" s="8" t="n"/>
      <c r="J29" s="12" t="n"/>
      <c r="K29" s="13">
        <f>IF(OR($J29="",N($G29)=0),"",$J29/$G29)</f>
        <v/>
      </c>
      <c r="L29" s="8" t="n"/>
      <c r="M29" s="8" t="n"/>
      <c r="N29" s="8" t="n"/>
      <c r="O29" s="8" t="n"/>
      <c r="P29" s="8" t="n"/>
      <c r="Q29" s="10">
        <f>IF(COUNT($L29:$P29)=0,"",SUM($L29:$P29))</f>
        <v/>
      </c>
      <c r="R29" s="14">
        <f>IF(OR($J29="",N($Q29)=0),"",$J29*1000/$Q29)</f>
        <v/>
      </c>
      <c r="S29" s="8" t="n"/>
      <c r="T29" s="8" t="n"/>
      <c r="U29" s="8" t="n"/>
      <c r="V29" s="15">
        <f>IF(N($Q29)=0,"",MAX(0,($Q29-$P29-SUM($S29:$U29)))/$Q29)</f>
        <v/>
      </c>
      <c r="W29" s="8" t="n"/>
      <c r="X29" s="8" t="n"/>
      <c r="Y29" s="8" t="n"/>
      <c r="Z29" s="8" t="n"/>
    </row>
    <row r="30">
      <c r="A30" s="8" t="n"/>
      <c r="B30" s="9" t="n"/>
      <c r="C30" s="8" t="n"/>
      <c r="D30" s="10">
        <f>IF($C30="","",IFERROR(INDEX(畝マスター!$B$2:$B$21,MATCH($C30,畝マスター!$A$2:$A$21,0)),""))</f>
        <v/>
      </c>
      <c r="E30" s="11">
        <f>IF($C30="","",IFERROR(INDEX(畝マスター!$E$2:$E$21,MATCH($C30,畝マスター!$A$2:$A$21,0)),""))</f>
        <v/>
      </c>
      <c r="F30" s="10">
        <f>IF(OR($B30="",$E30=""),"",$B30-$E30)</f>
        <v/>
      </c>
      <c r="G30" s="8" t="n"/>
      <c r="H30" s="8" t="n"/>
      <c r="I30" s="8" t="n"/>
      <c r="J30" s="12" t="n"/>
      <c r="K30" s="13">
        <f>IF(OR($J30="",N($G30)=0),"",$J30/$G30)</f>
        <v/>
      </c>
      <c r="L30" s="8" t="n"/>
      <c r="M30" s="8" t="n"/>
      <c r="N30" s="8" t="n"/>
      <c r="O30" s="8" t="n"/>
      <c r="P30" s="8" t="n"/>
      <c r="Q30" s="10">
        <f>IF(COUNT($L30:$P30)=0,"",SUM($L30:$P30))</f>
        <v/>
      </c>
      <c r="R30" s="14">
        <f>IF(OR($J30="",N($Q30)=0),"",$J30*1000/$Q30)</f>
        <v/>
      </c>
      <c r="S30" s="8" t="n"/>
      <c r="T30" s="8" t="n"/>
      <c r="U30" s="8" t="n"/>
      <c r="V30" s="15">
        <f>IF(N($Q30)=0,"",MAX(0,($Q30-$P30-SUM($S30:$U30)))/$Q30)</f>
        <v/>
      </c>
      <c r="W30" s="8" t="n"/>
      <c r="X30" s="8" t="n"/>
      <c r="Y30" s="8" t="n"/>
      <c r="Z30" s="8" t="n"/>
    </row>
    <row r="31">
      <c r="A31" s="8" t="n"/>
      <c r="B31" s="9" t="n"/>
      <c r="C31" s="8" t="n"/>
      <c r="D31" s="10">
        <f>IF($C31="","",IFERROR(INDEX(畝マスター!$B$2:$B$21,MATCH($C31,畝マスター!$A$2:$A$21,0)),""))</f>
        <v/>
      </c>
      <c r="E31" s="11">
        <f>IF($C31="","",IFERROR(INDEX(畝マスター!$E$2:$E$21,MATCH($C31,畝マスター!$A$2:$A$21,0)),""))</f>
        <v/>
      </c>
      <c r="F31" s="10">
        <f>IF(OR($B31="",$E31=""),"",$B31-$E31)</f>
        <v/>
      </c>
      <c r="G31" s="8" t="n"/>
      <c r="H31" s="8" t="n"/>
      <c r="I31" s="8" t="n"/>
      <c r="J31" s="12" t="n"/>
      <c r="K31" s="13">
        <f>IF(OR($J31="",N($G31)=0),"",$J31/$G31)</f>
        <v/>
      </c>
      <c r="L31" s="8" t="n"/>
      <c r="M31" s="8" t="n"/>
      <c r="N31" s="8" t="n"/>
      <c r="O31" s="8" t="n"/>
      <c r="P31" s="8" t="n"/>
      <c r="Q31" s="10">
        <f>IF(COUNT($L31:$P31)=0,"",SUM($L31:$P31))</f>
        <v/>
      </c>
      <c r="R31" s="14">
        <f>IF(OR($J31="",N($Q31)=0),"",$J31*1000/$Q31)</f>
        <v/>
      </c>
      <c r="S31" s="8" t="n"/>
      <c r="T31" s="8" t="n"/>
      <c r="U31" s="8" t="n"/>
      <c r="V31" s="15">
        <f>IF(N($Q31)=0,"",MAX(0,($Q31-$P31-SUM($S31:$U31)))/$Q31)</f>
        <v/>
      </c>
      <c r="W31" s="8" t="n"/>
      <c r="X31" s="8" t="n"/>
      <c r="Y31" s="8" t="n"/>
      <c r="Z31" s="8" t="n"/>
    </row>
    <row r="32">
      <c r="A32" s="8" t="n"/>
      <c r="B32" s="9" t="n"/>
      <c r="C32" s="8" t="n"/>
      <c r="D32" s="10">
        <f>IF($C32="","",IFERROR(INDEX(畝マスター!$B$2:$B$21,MATCH($C32,畝マスター!$A$2:$A$21,0)),""))</f>
        <v/>
      </c>
      <c r="E32" s="11">
        <f>IF($C32="","",IFERROR(INDEX(畝マスター!$E$2:$E$21,MATCH($C32,畝マスター!$A$2:$A$21,0)),""))</f>
        <v/>
      </c>
      <c r="F32" s="10">
        <f>IF(OR($B32="",$E32=""),"",$B32-$E32)</f>
        <v/>
      </c>
      <c r="G32" s="8" t="n"/>
      <c r="H32" s="8" t="n"/>
      <c r="I32" s="8" t="n"/>
      <c r="J32" s="12" t="n"/>
      <c r="K32" s="13">
        <f>IF(OR($J32="",N($G32)=0),"",$J32/$G32)</f>
        <v/>
      </c>
      <c r="L32" s="8" t="n"/>
      <c r="M32" s="8" t="n"/>
      <c r="N32" s="8" t="n"/>
      <c r="O32" s="8" t="n"/>
      <c r="P32" s="8" t="n"/>
      <c r="Q32" s="10">
        <f>IF(COUNT($L32:$P32)=0,"",SUM($L32:$P32))</f>
        <v/>
      </c>
      <c r="R32" s="14">
        <f>IF(OR($J32="",N($Q32)=0),"",$J32*1000/$Q32)</f>
        <v/>
      </c>
      <c r="S32" s="8" t="n"/>
      <c r="T32" s="8" t="n"/>
      <c r="U32" s="8" t="n"/>
      <c r="V32" s="15">
        <f>IF(N($Q32)=0,"",MAX(0,($Q32-$P32-SUM($S32:$U32)))/$Q32)</f>
        <v/>
      </c>
      <c r="W32" s="8" t="n"/>
      <c r="X32" s="8" t="n"/>
      <c r="Y32" s="8" t="n"/>
      <c r="Z32" s="8" t="n"/>
    </row>
    <row r="33">
      <c r="A33" s="8" t="n"/>
      <c r="B33" s="9" t="n"/>
      <c r="C33" s="8" t="n"/>
      <c r="D33" s="10">
        <f>IF($C33="","",IFERROR(INDEX(畝マスター!$B$2:$B$21,MATCH($C33,畝マスター!$A$2:$A$21,0)),""))</f>
        <v/>
      </c>
      <c r="E33" s="11">
        <f>IF($C33="","",IFERROR(INDEX(畝マスター!$E$2:$E$21,MATCH($C33,畝マスター!$A$2:$A$21,0)),""))</f>
        <v/>
      </c>
      <c r="F33" s="10">
        <f>IF(OR($B33="",$E33=""),"",$B33-$E33)</f>
        <v/>
      </c>
      <c r="G33" s="8" t="n"/>
      <c r="H33" s="8" t="n"/>
      <c r="I33" s="8" t="n"/>
      <c r="J33" s="12" t="n"/>
      <c r="K33" s="13">
        <f>IF(OR($J33="",N($G33)=0),"",$J33/$G33)</f>
        <v/>
      </c>
      <c r="L33" s="8" t="n"/>
      <c r="M33" s="8" t="n"/>
      <c r="N33" s="8" t="n"/>
      <c r="O33" s="8" t="n"/>
      <c r="P33" s="8" t="n"/>
      <c r="Q33" s="10">
        <f>IF(COUNT($L33:$P33)=0,"",SUM($L33:$P33))</f>
        <v/>
      </c>
      <c r="R33" s="14">
        <f>IF(OR($J33="",N($Q33)=0),"",$J33*1000/$Q33)</f>
        <v/>
      </c>
      <c r="S33" s="8" t="n"/>
      <c r="T33" s="8" t="n"/>
      <c r="U33" s="8" t="n"/>
      <c r="V33" s="15">
        <f>IF(N($Q33)=0,"",MAX(0,($Q33-$P33-SUM($S33:$U33)))/$Q33)</f>
        <v/>
      </c>
      <c r="W33" s="8" t="n"/>
      <c r="X33" s="8" t="n"/>
      <c r="Y33" s="8" t="n"/>
      <c r="Z33" s="8" t="n"/>
    </row>
    <row r="34">
      <c r="A34" s="8" t="n"/>
      <c r="B34" s="9" t="n"/>
      <c r="C34" s="8" t="n"/>
      <c r="D34" s="10">
        <f>IF($C34="","",IFERROR(INDEX(畝マスター!$B$2:$B$21,MATCH($C34,畝マスター!$A$2:$A$21,0)),""))</f>
        <v/>
      </c>
      <c r="E34" s="11">
        <f>IF($C34="","",IFERROR(INDEX(畝マスター!$E$2:$E$21,MATCH($C34,畝マスター!$A$2:$A$21,0)),""))</f>
        <v/>
      </c>
      <c r="F34" s="10">
        <f>IF(OR($B34="",$E34=""),"",$B34-$E34)</f>
        <v/>
      </c>
      <c r="G34" s="8" t="n"/>
      <c r="H34" s="8" t="n"/>
      <c r="I34" s="8" t="n"/>
      <c r="J34" s="12" t="n"/>
      <c r="K34" s="13">
        <f>IF(OR($J34="",N($G34)=0),"",$J34/$G34)</f>
        <v/>
      </c>
      <c r="L34" s="8" t="n"/>
      <c r="M34" s="8" t="n"/>
      <c r="N34" s="8" t="n"/>
      <c r="O34" s="8" t="n"/>
      <c r="P34" s="8" t="n"/>
      <c r="Q34" s="10">
        <f>IF(COUNT($L34:$P34)=0,"",SUM($L34:$P34))</f>
        <v/>
      </c>
      <c r="R34" s="14">
        <f>IF(OR($J34="",N($Q34)=0),"",$J34*1000/$Q34)</f>
        <v/>
      </c>
      <c r="S34" s="8" t="n"/>
      <c r="T34" s="8" t="n"/>
      <c r="U34" s="8" t="n"/>
      <c r="V34" s="15">
        <f>IF(N($Q34)=0,"",MAX(0,($Q34-$P34-SUM($S34:$U34)))/$Q34)</f>
        <v/>
      </c>
      <c r="W34" s="8" t="n"/>
      <c r="X34" s="8" t="n"/>
      <c r="Y34" s="8" t="n"/>
      <c r="Z34" s="8" t="n"/>
    </row>
    <row r="35">
      <c r="A35" s="8" t="n"/>
      <c r="B35" s="9" t="n"/>
      <c r="C35" s="8" t="n"/>
      <c r="D35" s="10">
        <f>IF($C35="","",IFERROR(INDEX(畝マスター!$B$2:$B$21,MATCH($C35,畝マスター!$A$2:$A$21,0)),""))</f>
        <v/>
      </c>
      <c r="E35" s="11">
        <f>IF($C35="","",IFERROR(INDEX(畝マスター!$E$2:$E$21,MATCH($C35,畝マスター!$A$2:$A$21,0)),""))</f>
        <v/>
      </c>
      <c r="F35" s="10">
        <f>IF(OR($B35="",$E35=""),"",$B35-$E35)</f>
        <v/>
      </c>
      <c r="G35" s="8" t="n"/>
      <c r="H35" s="8" t="n"/>
      <c r="I35" s="8" t="n"/>
      <c r="J35" s="12" t="n"/>
      <c r="K35" s="13">
        <f>IF(OR($J35="",N($G35)=0),"",$J35/$G35)</f>
        <v/>
      </c>
      <c r="L35" s="8" t="n"/>
      <c r="M35" s="8" t="n"/>
      <c r="N35" s="8" t="n"/>
      <c r="O35" s="8" t="n"/>
      <c r="P35" s="8" t="n"/>
      <c r="Q35" s="10">
        <f>IF(COUNT($L35:$P35)=0,"",SUM($L35:$P35))</f>
        <v/>
      </c>
      <c r="R35" s="14">
        <f>IF(OR($J35="",N($Q35)=0),"",$J35*1000/$Q35)</f>
        <v/>
      </c>
      <c r="S35" s="8" t="n"/>
      <c r="T35" s="8" t="n"/>
      <c r="U35" s="8" t="n"/>
      <c r="V35" s="15">
        <f>IF(N($Q35)=0,"",MAX(0,($Q35-$P35-SUM($S35:$U35)))/$Q35)</f>
        <v/>
      </c>
      <c r="W35" s="8" t="n"/>
      <c r="X35" s="8" t="n"/>
      <c r="Y35" s="8" t="n"/>
      <c r="Z35" s="8" t="n"/>
    </row>
    <row r="36">
      <c r="A36" s="8" t="n"/>
      <c r="B36" s="9" t="n"/>
      <c r="C36" s="8" t="n"/>
      <c r="D36" s="10">
        <f>IF($C36="","",IFERROR(INDEX(畝マスター!$B$2:$B$21,MATCH($C36,畝マスター!$A$2:$A$21,0)),""))</f>
        <v/>
      </c>
      <c r="E36" s="11">
        <f>IF($C36="","",IFERROR(INDEX(畝マスター!$E$2:$E$21,MATCH($C36,畝マスター!$A$2:$A$21,0)),""))</f>
        <v/>
      </c>
      <c r="F36" s="10">
        <f>IF(OR($B36="",$E36=""),"",$B36-$E36)</f>
        <v/>
      </c>
      <c r="G36" s="8" t="n"/>
      <c r="H36" s="8" t="n"/>
      <c r="I36" s="8" t="n"/>
      <c r="J36" s="12" t="n"/>
      <c r="K36" s="13">
        <f>IF(OR($J36="",N($G36)=0),"",$J36/$G36)</f>
        <v/>
      </c>
      <c r="L36" s="8" t="n"/>
      <c r="M36" s="8" t="n"/>
      <c r="N36" s="8" t="n"/>
      <c r="O36" s="8" t="n"/>
      <c r="P36" s="8" t="n"/>
      <c r="Q36" s="10">
        <f>IF(COUNT($L36:$P36)=0,"",SUM($L36:$P36))</f>
        <v/>
      </c>
      <c r="R36" s="14">
        <f>IF(OR($J36="",N($Q36)=0),"",$J36*1000/$Q36)</f>
        <v/>
      </c>
      <c r="S36" s="8" t="n"/>
      <c r="T36" s="8" t="n"/>
      <c r="U36" s="8" t="n"/>
      <c r="V36" s="15">
        <f>IF(N($Q36)=0,"",MAX(0,($Q36-$P36-SUM($S36:$U36)))/$Q36)</f>
        <v/>
      </c>
      <c r="W36" s="8" t="n"/>
      <c r="X36" s="8" t="n"/>
      <c r="Y36" s="8" t="n"/>
      <c r="Z36" s="8" t="n"/>
    </row>
    <row r="37">
      <c r="A37" s="8" t="n"/>
      <c r="B37" s="9" t="n"/>
      <c r="C37" s="8" t="n"/>
      <c r="D37" s="10">
        <f>IF($C37="","",IFERROR(INDEX(畝マスター!$B$2:$B$21,MATCH($C37,畝マスター!$A$2:$A$21,0)),""))</f>
        <v/>
      </c>
      <c r="E37" s="11">
        <f>IF($C37="","",IFERROR(INDEX(畝マスター!$E$2:$E$21,MATCH($C37,畝マスター!$A$2:$A$21,0)),""))</f>
        <v/>
      </c>
      <c r="F37" s="10">
        <f>IF(OR($B37="",$E37=""),"",$B37-$E37)</f>
        <v/>
      </c>
      <c r="G37" s="8" t="n"/>
      <c r="H37" s="8" t="n"/>
      <c r="I37" s="8" t="n"/>
      <c r="J37" s="12" t="n"/>
      <c r="K37" s="13">
        <f>IF(OR($J37="",N($G37)=0),"",$J37/$G37)</f>
        <v/>
      </c>
      <c r="L37" s="8" t="n"/>
      <c r="M37" s="8" t="n"/>
      <c r="N37" s="8" t="n"/>
      <c r="O37" s="8" t="n"/>
      <c r="P37" s="8" t="n"/>
      <c r="Q37" s="10">
        <f>IF(COUNT($L37:$P37)=0,"",SUM($L37:$P37))</f>
        <v/>
      </c>
      <c r="R37" s="14">
        <f>IF(OR($J37="",N($Q37)=0),"",$J37*1000/$Q37)</f>
        <v/>
      </c>
      <c r="S37" s="8" t="n"/>
      <c r="T37" s="8" t="n"/>
      <c r="U37" s="8" t="n"/>
      <c r="V37" s="15">
        <f>IF(N($Q37)=0,"",MAX(0,($Q37-$P37-SUM($S37:$U37)))/$Q37)</f>
        <v/>
      </c>
      <c r="W37" s="8" t="n"/>
      <c r="X37" s="8" t="n"/>
      <c r="Y37" s="8" t="n"/>
      <c r="Z37" s="8" t="n"/>
    </row>
    <row r="38">
      <c r="A38" s="8" t="n"/>
      <c r="B38" s="9" t="n"/>
      <c r="C38" s="8" t="n"/>
      <c r="D38" s="10">
        <f>IF($C38="","",IFERROR(INDEX(畝マスター!$B$2:$B$21,MATCH($C38,畝マスター!$A$2:$A$21,0)),""))</f>
        <v/>
      </c>
      <c r="E38" s="11">
        <f>IF($C38="","",IFERROR(INDEX(畝マスター!$E$2:$E$21,MATCH($C38,畝マスター!$A$2:$A$21,0)),""))</f>
        <v/>
      </c>
      <c r="F38" s="10">
        <f>IF(OR($B38="",$E38=""),"",$B38-$E38)</f>
        <v/>
      </c>
      <c r="G38" s="8" t="n"/>
      <c r="H38" s="8" t="n"/>
      <c r="I38" s="8" t="n"/>
      <c r="J38" s="12" t="n"/>
      <c r="K38" s="13">
        <f>IF(OR($J38="",N($G38)=0),"",$J38/$G38)</f>
        <v/>
      </c>
      <c r="L38" s="8" t="n"/>
      <c r="M38" s="8" t="n"/>
      <c r="N38" s="8" t="n"/>
      <c r="O38" s="8" t="n"/>
      <c r="P38" s="8" t="n"/>
      <c r="Q38" s="10">
        <f>IF(COUNT($L38:$P38)=0,"",SUM($L38:$P38))</f>
        <v/>
      </c>
      <c r="R38" s="14">
        <f>IF(OR($J38="",N($Q38)=0),"",$J38*1000/$Q38)</f>
        <v/>
      </c>
      <c r="S38" s="8" t="n"/>
      <c r="T38" s="8" t="n"/>
      <c r="U38" s="8" t="n"/>
      <c r="V38" s="15">
        <f>IF(N($Q38)=0,"",MAX(0,($Q38-$P38-SUM($S38:$U38)))/$Q38)</f>
        <v/>
      </c>
      <c r="W38" s="8" t="n"/>
      <c r="X38" s="8" t="n"/>
      <c r="Y38" s="8" t="n"/>
      <c r="Z38" s="8" t="n"/>
    </row>
    <row r="39">
      <c r="A39" s="8" t="n"/>
      <c r="B39" s="9" t="n"/>
      <c r="C39" s="8" t="n"/>
      <c r="D39" s="10">
        <f>IF($C39="","",IFERROR(INDEX(畝マスター!$B$2:$B$21,MATCH($C39,畝マスター!$A$2:$A$21,0)),""))</f>
        <v/>
      </c>
      <c r="E39" s="11">
        <f>IF($C39="","",IFERROR(INDEX(畝マスター!$E$2:$E$21,MATCH($C39,畝マスター!$A$2:$A$21,0)),""))</f>
        <v/>
      </c>
      <c r="F39" s="10">
        <f>IF(OR($B39="",$E39=""),"",$B39-$E39)</f>
        <v/>
      </c>
      <c r="G39" s="8" t="n"/>
      <c r="H39" s="8" t="n"/>
      <c r="I39" s="8" t="n"/>
      <c r="J39" s="12" t="n"/>
      <c r="K39" s="13">
        <f>IF(OR($J39="",N($G39)=0),"",$J39/$G39)</f>
        <v/>
      </c>
      <c r="L39" s="8" t="n"/>
      <c r="M39" s="8" t="n"/>
      <c r="N39" s="8" t="n"/>
      <c r="O39" s="8" t="n"/>
      <c r="P39" s="8" t="n"/>
      <c r="Q39" s="10">
        <f>IF(COUNT($L39:$P39)=0,"",SUM($L39:$P39))</f>
        <v/>
      </c>
      <c r="R39" s="14">
        <f>IF(OR($J39="",N($Q39)=0),"",$J39*1000/$Q39)</f>
        <v/>
      </c>
      <c r="S39" s="8" t="n"/>
      <c r="T39" s="8" t="n"/>
      <c r="U39" s="8" t="n"/>
      <c r="V39" s="15">
        <f>IF(N($Q39)=0,"",MAX(0,($Q39-$P39-SUM($S39:$U39)))/$Q39)</f>
        <v/>
      </c>
      <c r="W39" s="8" t="n"/>
      <c r="X39" s="8" t="n"/>
      <c r="Y39" s="8" t="n"/>
      <c r="Z39" s="8" t="n"/>
    </row>
    <row r="40">
      <c r="A40" s="8" t="n"/>
      <c r="B40" s="9" t="n"/>
      <c r="C40" s="8" t="n"/>
      <c r="D40" s="10">
        <f>IF($C40="","",IFERROR(INDEX(畝マスター!$B$2:$B$21,MATCH($C40,畝マスター!$A$2:$A$21,0)),""))</f>
        <v/>
      </c>
      <c r="E40" s="11">
        <f>IF($C40="","",IFERROR(INDEX(畝マスター!$E$2:$E$21,MATCH($C40,畝マスター!$A$2:$A$21,0)),""))</f>
        <v/>
      </c>
      <c r="F40" s="10">
        <f>IF(OR($B40="",$E40=""),"",$B40-$E40)</f>
        <v/>
      </c>
      <c r="G40" s="8" t="n"/>
      <c r="H40" s="8" t="n"/>
      <c r="I40" s="8" t="n"/>
      <c r="J40" s="12" t="n"/>
      <c r="K40" s="13">
        <f>IF(OR($J40="",N($G40)=0),"",$J40/$G40)</f>
        <v/>
      </c>
      <c r="L40" s="8" t="n"/>
      <c r="M40" s="8" t="n"/>
      <c r="N40" s="8" t="n"/>
      <c r="O40" s="8" t="n"/>
      <c r="P40" s="8" t="n"/>
      <c r="Q40" s="10">
        <f>IF(COUNT($L40:$P40)=0,"",SUM($L40:$P40))</f>
        <v/>
      </c>
      <c r="R40" s="14">
        <f>IF(OR($J40="",N($Q40)=0),"",$J40*1000/$Q40)</f>
        <v/>
      </c>
      <c r="S40" s="8" t="n"/>
      <c r="T40" s="8" t="n"/>
      <c r="U40" s="8" t="n"/>
      <c r="V40" s="15">
        <f>IF(N($Q40)=0,"",MAX(0,($Q40-$P40-SUM($S40:$U40)))/$Q40)</f>
        <v/>
      </c>
      <c r="W40" s="8" t="n"/>
      <c r="X40" s="8" t="n"/>
      <c r="Y40" s="8" t="n"/>
      <c r="Z40" s="8" t="n"/>
    </row>
    <row r="41">
      <c r="A41" s="8" t="n"/>
      <c r="B41" s="9" t="n"/>
      <c r="C41" s="8" t="n"/>
      <c r="D41" s="10">
        <f>IF($C41="","",IFERROR(INDEX(畝マスター!$B$2:$B$21,MATCH($C41,畝マスター!$A$2:$A$21,0)),""))</f>
        <v/>
      </c>
      <c r="E41" s="11">
        <f>IF($C41="","",IFERROR(INDEX(畝マスター!$E$2:$E$21,MATCH($C41,畝マスター!$A$2:$A$21,0)),""))</f>
        <v/>
      </c>
      <c r="F41" s="10">
        <f>IF(OR($B41="",$E41=""),"",$B41-$E41)</f>
        <v/>
      </c>
      <c r="G41" s="8" t="n"/>
      <c r="H41" s="8" t="n"/>
      <c r="I41" s="8" t="n"/>
      <c r="J41" s="12" t="n"/>
      <c r="K41" s="13">
        <f>IF(OR($J41="",N($G41)=0),"",$J41/$G41)</f>
        <v/>
      </c>
      <c r="L41" s="8" t="n"/>
      <c r="M41" s="8" t="n"/>
      <c r="N41" s="8" t="n"/>
      <c r="O41" s="8" t="n"/>
      <c r="P41" s="8" t="n"/>
      <c r="Q41" s="10">
        <f>IF(COUNT($L41:$P41)=0,"",SUM($L41:$P41))</f>
        <v/>
      </c>
      <c r="R41" s="14">
        <f>IF(OR($J41="",N($Q41)=0),"",$J41*1000/$Q41)</f>
        <v/>
      </c>
      <c r="S41" s="8" t="n"/>
      <c r="T41" s="8" t="n"/>
      <c r="U41" s="8" t="n"/>
      <c r="V41" s="15">
        <f>IF(N($Q41)=0,"",MAX(0,($Q41-$P41-SUM($S41:$U41)))/$Q41)</f>
        <v/>
      </c>
      <c r="W41" s="8" t="n"/>
      <c r="X41" s="8" t="n"/>
      <c r="Y41" s="8" t="n"/>
      <c r="Z41" s="8" t="n"/>
    </row>
    <row r="42">
      <c r="A42" s="8" t="n"/>
      <c r="B42" s="9" t="n"/>
      <c r="C42" s="8" t="n"/>
      <c r="D42" s="10">
        <f>IF($C42="","",IFERROR(INDEX(畝マスター!$B$2:$B$21,MATCH($C42,畝マスター!$A$2:$A$21,0)),""))</f>
        <v/>
      </c>
      <c r="E42" s="11">
        <f>IF($C42="","",IFERROR(INDEX(畝マスター!$E$2:$E$21,MATCH($C42,畝マスター!$A$2:$A$21,0)),""))</f>
        <v/>
      </c>
      <c r="F42" s="10">
        <f>IF(OR($B42="",$E42=""),"",$B42-$E42)</f>
        <v/>
      </c>
      <c r="G42" s="8" t="n"/>
      <c r="H42" s="8" t="n"/>
      <c r="I42" s="8" t="n"/>
      <c r="J42" s="12" t="n"/>
      <c r="K42" s="13">
        <f>IF(OR($J42="",N($G42)=0),"",$J42/$G42)</f>
        <v/>
      </c>
      <c r="L42" s="8" t="n"/>
      <c r="M42" s="8" t="n"/>
      <c r="N42" s="8" t="n"/>
      <c r="O42" s="8" t="n"/>
      <c r="P42" s="8" t="n"/>
      <c r="Q42" s="10">
        <f>IF(COUNT($L42:$P42)=0,"",SUM($L42:$P42))</f>
        <v/>
      </c>
      <c r="R42" s="14">
        <f>IF(OR($J42="",N($Q42)=0),"",$J42*1000/$Q42)</f>
        <v/>
      </c>
      <c r="S42" s="8" t="n"/>
      <c r="T42" s="8" t="n"/>
      <c r="U42" s="8" t="n"/>
      <c r="V42" s="15">
        <f>IF(N($Q42)=0,"",MAX(0,($Q42-$P42-SUM($S42:$U42)))/$Q42)</f>
        <v/>
      </c>
      <c r="W42" s="8" t="n"/>
      <c r="X42" s="8" t="n"/>
      <c r="Y42" s="8" t="n"/>
      <c r="Z42" s="8" t="n"/>
    </row>
    <row r="43">
      <c r="A43" s="8" t="n"/>
      <c r="B43" s="9" t="n"/>
      <c r="C43" s="8" t="n"/>
      <c r="D43" s="10">
        <f>IF($C43="","",IFERROR(INDEX(畝マスター!$B$2:$B$21,MATCH($C43,畝マスター!$A$2:$A$21,0)),""))</f>
        <v/>
      </c>
      <c r="E43" s="11">
        <f>IF($C43="","",IFERROR(INDEX(畝マスター!$E$2:$E$21,MATCH($C43,畝マスター!$A$2:$A$21,0)),""))</f>
        <v/>
      </c>
      <c r="F43" s="10">
        <f>IF(OR($B43="",$E43=""),"",$B43-$E43)</f>
        <v/>
      </c>
      <c r="G43" s="8" t="n"/>
      <c r="H43" s="8" t="n"/>
      <c r="I43" s="8" t="n"/>
      <c r="J43" s="12" t="n"/>
      <c r="K43" s="13">
        <f>IF(OR($J43="",N($G43)=0),"",$J43/$G43)</f>
        <v/>
      </c>
      <c r="L43" s="8" t="n"/>
      <c r="M43" s="8" t="n"/>
      <c r="N43" s="8" t="n"/>
      <c r="O43" s="8" t="n"/>
      <c r="P43" s="8" t="n"/>
      <c r="Q43" s="10">
        <f>IF(COUNT($L43:$P43)=0,"",SUM($L43:$P43))</f>
        <v/>
      </c>
      <c r="R43" s="14">
        <f>IF(OR($J43="",N($Q43)=0),"",$J43*1000/$Q43)</f>
        <v/>
      </c>
      <c r="S43" s="8" t="n"/>
      <c r="T43" s="8" t="n"/>
      <c r="U43" s="8" t="n"/>
      <c r="V43" s="15">
        <f>IF(N($Q43)=0,"",MAX(0,($Q43-$P43-SUM($S43:$U43)))/$Q43)</f>
        <v/>
      </c>
      <c r="W43" s="8" t="n"/>
      <c r="X43" s="8" t="n"/>
      <c r="Y43" s="8" t="n"/>
      <c r="Z43" s="8" t="n"/>
    </row>
    <row r="44">
      <c r="A44" s="8" t="n"/>
      <c r="B44" s="9" t="n"/>
      <c r="C44" s="8" t="n"/>
      <c r="D44" s="10">
        <f>IF($C44="","",IFERROR(INDEX(畝マスター!$B$2:$B$21,MATCH($C44,畝マスター!$A$2:$A$21,0)),""))</f>
        <v/>
      </c>
      <c r="E44" s="11">
        <f>IF($C44="","",IFERROR(INDEX(畝マスター!$E$2:$E$21,MATCH($C44,畝マスター!$A$2:$A$21,0)),""))</f>
        <v/>
      </c>
      <c r="F44" s="10">
        <f>IF(OR($B44="",$E44=""),"",$B44-$E44)</f>
        <v/>
      </c>
      <c r="G44" s="8" t="n"/>
      <c r="H44" s="8" t="n"/>
      <c r="I44" s="8" t="n"/>
      <c r="J44" s="12" t="n"/>
      <c r="K44" s="13">
        <f>IF(OR($J44="",N($G44)=0),"",$J44/$G44)</f>
        <v/>
      </c>
      <c r="L44" s="8" t="n"/>
      <c r="M44" s="8" t="n"/>
      <c r="N44" s="8" t="n"/>
      <c r="O44" s="8" t="n"/>
      <c r="P44" s="8" t="n"/>
      <c r="Q44" s="10">
        <f>IF(COUNT($L44:$P44)=0,"",SUM($L44:$P44))</f>
        <v/>
      </c>
      <c r="R44" s="14">
        <f>IF(OR($J44="",N($Q44)=0),"",$J44*1000/$Q44)</f>
        <v/>
      </c>
      <c r="S44" s="8" t="n"/>
      <c r="T44" s="8" t="n"/>
      <c r="U44" s="8" t="n"/>
      <c r="V44" s="15">
        <f>IF(N($Q44)=0,"",MAX(0,($Q44-$P44-SUM($S44:$U44)))/$Q44)</f>
        <v/>
      </c>
      <c r="W44" s="8" t="n"/>
      <c r="X44" s="8" t="n"/>
      <c r="Y44" s="8" t="n"/>
      <c r="Z44" s="8" t="n"/>
    </row>
    <row r="45">
      <c r="A45" s="8" t="n"/>
      <c r="B45" s="9" t="n"/>
      <c r="C45" s="8" t="n"/>
      <c r="D45" s="10">
        <f>IF($C45="","",IFERROR(INDEX(畝マスター!$B$2:$B$21,MATCH($C45,畝マスター!$A$2:$A$21,0)),""))</f>
        <v/>
      </c>
      <c r="E45" s="11">
        <f>IF($C45="","",IFERROR(INDEX(畝マスター!$E$2:$E$21,MATCH($C45,畝マスター!$A$2:$A$21,0)),""))</f>
        <v/>
      </c>
      <c r="F45" s="10">
        <f>IF(OR($B45="",$E45=""),"",$B45-$E45)</f>
        <v/>
      </c>
      <c r="G45" s="8" t="n"/>
      <c r="H45" s="8" t="n"/>
      <c r="I45" s="8" t="n"/>
      <c r="J45" s="12" t="n"/>
      <c r="K45" s="13">
        <f>IF(OR($J45="",N($G45)=0),"",$J45/$G45)</f>
        <v/>
      </c>
      <c r="L45" s="8" t="n"/>
      <c r="M45" s="8" t="n"/>
      <c r="N45" s="8" t="n"/>
      <c r="O45" s="8" t="n"/>
      <c r="P45" s="8" t="n"/>
      <c r="Q45" s="10">
        <f>IF(COUNT($L45:$P45)=0,"",SUM($L45:$P45))</f>
        <v/>
      </c>
      <c r="R45" s="14">
        <f>IF(OR($J45="",N($Q45)=0),"",$J45*1000/$Q45)</f>
        <v/>
      </c>
      <c r="S45" s="8" t="n"/>
      <c r="T45" s="8" t="n"/>
      <c r="U45" s="8" t="n"/>
      <c r="V45" s="15">
        <f>IF(N($Q45)=0,"",MAX(0,($Q45-$P45-SUM($S45:$U45)))/$Q45)</f>
        <v/>
      </c>
      <c r="W45" s="8" t="n"/>
      <c r="X45" s="8" t="n"/>
      <c r="Y45" s="8" t="n"/>
      <c r="Z45" s="8" t="n"/>
    </row>
    <row r="46">
      <c r="A46" s="8" t="n"/>
      <c r="B46" s="9" t="n"/>
      <c r="C46" s="8" t="n"/>
      <c r="D46" s="10">
        <f>IF($C46="","",IFERROR(INDEX(畝マスター!$B$2:$B$21,MATCH($C46,畝マスター!$A$2:$A$21,0)),""))</f>
        <v/>
      </c>
      <c r="E46" s="11">
        <f>IF($C46="","",IFERROR(INDEX(畝マスター!$E$2:$E$21,MATCH($C46,畝マスター!$A$2:$A$21,0)),""))</f>
        <v/>
      </c>
      <c r="F46" s="10">
        <f>IF(OR($B46="",$E46=""),"",$B46-$E46)</f>
        <v/>
      </c>
      <c r="G46" s="8" t="n"/>
      <c r="H46" s="8" t="n"/>
      <c r="I46" s="8" t="n"/>
      <c r="J46" s="12" t="n"/>
      <c r="K46" s="13">
        <f>IF(OR($J46="",N($G46)=0),"",$J46/$G46)</f>
        <v/>
      </c>
      <c r="L46" s="8" t="n"/>
      <c r="M46" s="8" t="n"/>
      <c r="N46" s="8" t="n"/>
      <c r="O46" s="8" t="n"/>
      <c r="P46" s="8" t="n"/>
      <c r="Q46" s="10">
        <f>IF(COUNT($L46:$P46)=0,"",SUM($L46:$P46))</f>
        <v/>
      </c>
      <c r="R46" s="14">
        <f>IF(OR($J46="",N($Q46)=0),"",$J46*1000/$Q46)</f>
        <v/>
      </c>
      <c r="S46" s="8" t="n"/>
      <c r="T46" s="8" t="n"/>
      <c r="U46" s="8" t="n"/>
      <c r="V46" s="15">
        <f>IF(N($Q46)=0,"",MAX(0,($Q46-$P46-SUM($S46:$U46)))/$Q46)</f>
        <v/>
      </c>
      <c r="W46" s="8" t="n"/>
      <c r="X46" s="8" t="n"/>
      <c r="Y46" s="8" t="n"/>
      <c r="Z46" s="8" t="n"/>
    </row>
    <row r="47">
      <c r="A47" s="8" t="n"/>
      <c r="B47" s="9" t="n"/>
      <c r="C47" s="8" t="n"/>
      <c r="D47" s="10">
        <f>IF($C47="","",IFERROR(INDEX(畝マスター!$B$2:$B$21,MATCH($C47,畝マスター!$A$2:$A$21,0)),""))</f>
        <v/>
      </c>
      <c r="E47" s="11">
        <f>IF($C47="","",IFERROR(INDEX(畝マスター!$E$2:$E$21,MATCH($C47,畝マスター!$A$2:$A$21,0)),""))</f>
        <v/>
      </c>
      <c r="F47" s="10">
        <f>IF(OR($B47="",$E47=""),"",$B47-$E47)</f>
        <v/>
      </c>
      <c r="G47" s="8" t="n"/>
      <c r="H47" s="8" t="n"/>
      <c r="I47" s="8" t="n"/>
      <c r="J47" s="12" t="n"/>
      <c r="K47" s="13">
        <f>IF(OR($J47="",N($G47)=0),"",$J47/$G47)</f>
        <v/>
      </c>
      <c r="L47" s="8" t="n"/>
      <c r="M47" s="8" t="n"/>
      <c r="N47" s="8" t="n"/>
      <c r="O47" s="8" t="n"/>
      <c r="P47" s="8" t="n"/>
      <c r="Q47" s="10">
        <f>IF(COUNT($L47:$P47)=0,"",SUM($L47:$P47))</f>
        <v/>
      </c>
      <c r="R47" s="14">
        <f>IF(OR($J47="",N($Q47)=0),"",$J47*1000/$Q47)</f>
        <v/>
      </c>
      <c r="S47" s="8" t="n"/>
      <c r="T47" s="8" t="n"/>
      <c r="U47" s="8" t="n"/>
      <c r="V47" s="15">
        <f>IF(N($Q47)=0,"",MAX(0,($Q47-$P47-SUM($S47:$U47)))/$Q47)</f>
        <v/>
      </c>
      <c r="W47" s="8" t="n"/>
      <c r="X47" s="8" t="n"/>
      <c r="Y47" s="8" t="n"/>
      <c r="Z47" s="8" t="n"/>
    </row>
    <row r="48">
      <c r="A48" s="8" t="n"/>
      <c r="B48" s="9" t="n"/>
      <c r="C48" s="8" t="n"/>
      <c r="D48" s="10">
        <f>IF($C48="","",IFERROR(INDEX(畝マスター!$B$2:$B$21,MATCH($C48,畝マスター!$A$2:$A$21,0)),""))</f>
        <v/>
      </c>
      <c r="E48" s="11">
        <f>IF($C48="","",IFERROR(INDEX(畝マスター!$E$2:$E$21,MATCH($C48,畝マスター!$A$2:$A$21,0)),""))</f>
        <v/>
      </c>
      <c r="F48" s="10">
        <f>IF(OR($B48="",$E48=""),"",$B48-$E48)</f>
        <v/>
      </c>
      <c r="G48" s="8" t="n"/>
      <c r="H48" s="8" t="n"/>
      <c r="I48" s="8" t="n"/>
      <c r="J48" s="12" t="n"/>
      <c r="K48" s="13">
        <f>IF(OR($J48="",N($G48)=0),"",$J48/$G48)</f>
        <v/>
      </c>
      <c r="L48" s="8" t="n"/>
      <c r="M48" s="8" t="n"/>
      <c r="N48" s="8" t="n"/>
      <c r="O48" s="8" t="n"/>
      <c r="P48" s="8" t="n"/>
      <c r="Q48" s="10">
        <f>IF(COUNT($L48:$P48)=0,"",SUM($L48:$P48))</f>
        <v/>
      </c>
      <c r="R48" s="14">
        <f>IF(OR($J48="",N($Q48)=0),"",$J48*1000/$Q48)</f>
        <v/>
      </c>
      <c r="S48" s="8" t="n"/>
      <c r="T48" s="8" t="n"/>
      <c r="U48" s="8" t="n"/>
      <c r="V48" s="15">
        <f>IF(N($Q48)=0,"",MAX(0,($Q48-$P48-SUM($S48:$U48)))/$Q48)</f>
        <v/>
      </c>
      <c r="W48" s="8" t="n"/>
      <c r="X48" s="8" t="n"/>
      <c r="Y48" s="8" t="n"/>
      <c r="Z48" s="8" t="n"/>
    </row>
    <row r="49">
      <c r="A49" s="8" t="n"/>
      <c r="B49" s="9" t="n"/>
      <c r="C49" s="8" t="n"/>
      <c r="D49" s="10">
        <f>IF($C49="","",IFERROR(INDEX(畝マスター!$B$2:$B$21,MATCH($C49,畝マスター!$A$2:$A$21,0)),""))</f>
        <v/>
      </c>
      <c r="E49" s="11">
        <f>IF($C49="","",IFERROR(INDEX(畝マスター!$E$2:$E$21,MATCH($C49,畝マスター!$A$2:$A$21,0)),""))</f>
        <v/>
      </c>
      <c r="F49" s="10">
        <f>IF(OR($B49="",$E49=""),"",$B49-$E49)</f>
        <v/>
      </c>
      <c r="G49" s="8" t="n"/>
      <c r="H49" s="8" t="n"/>
      <c r="I49" s="8" t="n"/>
      <c r="J49" s="12" t="n"/>
      <c r="K49" s="13">
        <f>IF(OR($J49="",N($G49)=0),"",$J49/$G49)</f>
        <v/>
      </c>
      <c r="L49" s="8" t="n"/>
      <c r="M49" s="8" t="n"/>
      <c r="N49" s="8" t="n"/>
      <c r="O49" s="8" t="n"/>
      <c r="P49" s="8" t="n"/>
      <c r="Q49" s="10">
        <f>IF(COUNT($L49:$P49)=0,"",SUM($L49:$P49))</f>
        <v/>
      </c>
      <c r="R49" s="14">
        <f>IF(OR($J49="",N($Q49)=0),"",$J49*1000/$Q49)</f>
        <v/>
      </c>
      <c r="S49" s="8" t="n"/>
      <c r="T49" s="8" t="n"/>
      <c r="U49" s="8" t="n"/>
      <c r="V49" s="15">
        <f>IF(N($Q49)=0,"",MAX(0,($Q49-$P49-SUM($S49:$U49)))/$Q49)</f>
        <v/>
      </c>
      <c r="W49" s="8" t="n"/>
      <c r="X49" s="8" t="n"/>
      <c r="Y49" s="8" t="n"/>
      <c r="Z49" s="8" t="n"/>
    </row>
    <row r="50">
      <c r="A50" s="8" t="n"/>
      <c r="B50" s="9" t="n"/>
      <c r="C50" s="8" t="n"/>
      <c r="D50" s="10">
        <f>IF($C50="","",IFERROR(INDEX(畝マスター!$B$2:$B$21,MATCH($C50,畝マスター!$A$2:$A$21,0)),""))</f>
        <v/>
      </c>
      <c r="E50" s="11">
        <f>IF($C50="","",IFERROR(INDEX(畝マスター!$E$2:$E$21,MATCH($C50,畝マスター!$A$2:$A$21,0)),""))</f>
        <v/>
      </c>
      <c r="F50" s="10">
        <f>IF(OR($B50="",$E50=""),"",$B50-$E50)</f>
        <v/>
      </c>
      <c r="G50" s="8" t="n"/>
      <c r="H50" s="8" t="n"/>
      <c r="I50" s="8" t="n"/>
      <c r="J50" s="12" t="n"/>
      <c r="K50" s="13">
        <f>IF(OR($J50="",N($G50)=0),"",$J50/$G50)</f>
        <v/>
      </c>
      <c r="L50" s="8" t="n"/>
      <c r="M50" s="8" t="n"/>
      <c r="N50" s="8" t="n"/>
      <c r="O50" s="8" t="n"/>
      <c r="P50" s="8" t="n"/>
      <c r="Q50" s="10">
        <f>IF(COUNT($L50:$P50)=0,"",SUM($L50:$P50))</f>
        <v/>
      </c>
      <c r="R50" s="14">
        <f>IF(OR($J50="",N($Q50)=0),"",$J50*1000/$Q50)</f>
        <v/>
      </c>
      <c r="S50" s="8" t="n"/>
      <c r="T50" s="8" t="n"/>
      <c r="U50" s="8" t="n"/>
      <c r="V50" s="15">
        <f>IF(N($Q50)=0,"",MAX(0,($Q50-$P50-SUM($S50:$U50)))/$Q50)</f>
        <v/>
      </c>
      <c r="W50" s="8" t="n"/>
      <c r="X50" s="8" t="n"/>
      <c r="Y50" s="8" t="n"/>
      <c r="Z50" s="8" t="n"/>
    </row>
    <row r="51">
      <c r="A51" s="8" t="n"/>
      <c r="B51" s="9" t="n"/>
      <c r="C51" s="8" t="n"/>
      <c r="D51" s="10">
        <f>IF($C51="","",IFERROR(INDEX(畝マスター!$B$2:$B$21,MATCH($C51,畝マスター!$A$2:$A$21,0)),""))</f>
        <v/>
      </c>
      <c r="E51" s="11">
        <f>IF($C51="","",IFERROR(INDEX(畝マスター!$E$2:$E$21,MATCH($C51,畝マスター!$A$2:$A$21,0)),""))</f>
        <v/>
      </c>
      <c r="F51" s="10">
        <f>IF(OR($B51="",$E51=""),"",$B51-$E51)</f>
        <v/>
      </c>
      <c r="G51" s="8" t="n"/>
      <c r="H51" s="8" t="n"/>
      <c r="I51" s="8" t="n"/>
      <c r="J51" s="12" t="n"/>
      <c r="K51" s="13">
        <f>IF(OR($J51="",N($G51)=0),"",$J51/$G51)</f>
        <v/>
      </c>
      <c r="L51" s="8" t="n"/>
      <c r="M51" s="8" t="n"/>
      <c r="N51" s="8" t="n"/>
      <c r="O51" s="8" t="n"/>
      <c r="P51" s="8" t="n"/>
      <c r="Q51" s="10">
        <f>IF(COUNT($L51:$P51)=0,"",SUM($L51:$P51))</f>
        <v/>
      </c>
      <c r="R51" s="14">
        <f>IF(OR($J51="",N($Q51)=0),"",$J51*1000/$Q51)</f>
        <v/>
      </c>
      <c r="S51" s="8" t="n"/>
      <c r="T51" s="8" t="n"/>
      <c r="U51" s="8" t="n"/>
      <c r="V51" s="15">
        <f>IF(N($Q51)=0,"",MAX(0,($Q51-$P51-SUM($S51:$U51)))/$Q51)</f>
        <v/>
      </c>
      <c r="W51" s="8" t="n"/>
      <c r="X51" s="8" t="n"/>
      <c r="Y51" s="8" t="n"/>
      <c r="Z51" s="8" t="n"/>
    </row>
    <row r="52">
      <c r="A52" s="8" t="n"/>
      <c r="B52" s="9" t="n"/>
      <c r="C52" s="8" t="n"/>
      <c r="D52" s="10">
        <f>IF($C52="","",IFERROR(INDEX(畝マスター!$B$2:$B$21,MATCH($C52,畝マスター!$A$2:$A$21,0)),""))</f>
        <v/>
      </c>
      <c r="E52" s="11">
        <f>IF($C52="","",IFERROR(INDEX(畝マスター!$E$2:$E$21,MATCH($C52,畝マスター!$A$2:$A$21,0)),""))</f>
        <v/>
      </c>
      <c r="F52" s="10">
        <f>IF(OR($B52="",$E52=""),"",$B52-$E52)</f>
        <v/>
      </c>
      <c r="G52" s="8" t="n"/>
      <c r="H52" s="8" t="n"/>
      <c r="I52" s="8" t="n"/>
      <c r="J52" s="12" t="n"/>
      <c r="K52" s="13">
        <f>IF(OR($J52="",N($G52)=0),"",$J52/$G52)</f>
        <v/>
      </c>
      <c r="L52" s="8" t="n"/>
      <c r="M52" s="8" t="n"/>
      <c r="N52" s="8" t="n"/>
      <c r="O52" s="8" t="n"/>
      <c r="P52" s="8" t="n"/>
      <c r="Q52" s="10">
        <f>IF(COUNT($L52:$P52)=0,"",SUM($L52:$P52))</f>
        <v/>
      </c>
      <c r="R52" s="14">
        <f>IF(OR($J52="",N($Q52)=0),"",$J52*1000/$Q52)</f>
        <v/>
      </c>
      <c r="S52" s="8" t="n"/>
      <c r="T52" s="8" t="n"/>
      <c r="U52" s="8" t="n"/>
      <c r="V52" s="15">
        <f>IF(N($Q52)=0,"",MAX(0,($Q52-$P52-SUM($S52:$U52)))/$Q52)</f>
        <v/>
      </c>
      <c r="W52" s="8" t="n"/>
      <c r="X52" s="8" t="n"/>
      <c r="Y52" s="8" t="n"/>
      <c r="Z52" s="8" t="n"/>
    </row>
    <row r="53">
      <c r="A53" s="8" t="n"/>
      <c r="B53" s="9" t="n"/>
      <c r="C53" s="8" t="n"/>
      <c r="D53" s="10">
        <f>IF($C53="","",IFERROR(INDEX(畝マスター!$B$2:$B$21,MATCH($C53,畝マスター!$A$2:$A$21,0)),""))</f>
        <v/>
      </c>
      <c r="E53" s="11">
        <f>IF($C53="","",IFERROR(INDEX(畝マスター!$E$2:$E$21,MATCH($C53,畝マスター!$A$2:$A$21,0)),""))</f>
        <v/>
      </c>
      <c r="F53" s="10">
        <f>IF(OR($B53="",$E53=""),"",$B53-$E53)</f>
        <v/>
      </c>
      <c r="G53" s="8" t="n"/>
      <c r="H53" s="8" t="n"/>
      <c r="I53" s="8" t="n"/>
      <c r="J53" s="12" t="n"/>
      <c r="K53" s="13">
        <f>IF(OR($J53="",N($G53)=0),"",$J53/$G53)</f>
        <v/>
      </c>
      <c r="L53" s="8" t="n"/>
      <c r="M53" s="8" t="n"/>
      <c r="N53" s="8" t="n"/>
      <c r="O53" s="8" t="n"/>
      <c r="P53" s="8" t="n"/>
      <c r="Q53" s="10">
        <f>IF(COUNT($L53:$P53)=0,"",SUM($L53:$P53))</f>
        <v/>
      </c>
      <c r="R53" s="14">
        <f>IF(OR($J53="",N($Q53)=0),"",$J53*1000/$Q53)</f>
        <v/>
      </c>
      <c r="S53" s="8" t="n"/>
      <c r="T53" s="8" t="n"/>
      <c r="U53" s="8" t="n"/>
      <c r="V53" s="15">
        <f>IF(N($Q53)=0,"",MAX(0,($Q53-$P53-SUM($S53:$U53)))/$Q53)</f>
        <v/>
      </c>
      <c r="W53" s="8" t="n"/>
      <c r="X53" s="8" t="n"/>
      <c r="Y53" s="8" t="n"/>
      <c r="Z53" s="8" t="n"/>
    </row>
    <row r="54">
      <c r="A54" s="8" t="n"/>
      <c r="B54" s="9" t="n"/>
      <c r="C54" s="8" t="n"/>
      <c r="D54" s="10">
        <f>IF($C54="","",IFERROR(INDEX(畝マスター!$B$2:$B$21,MATCH($C54,畝マスター!$A$2:$A$21,0)),""))</f>
        <v/>
      </c>
      <c r="E54" s="11">
        <f>IF($C54="","",IFERROR(INDEX(畝マスター!$E$2:$E$21,MATCH($C54,畝マスター!$A$2:$A$21,0)),""))</f>
        <v/>
      </c>
      <c r="F54" s="10">
        <f>IF(OR($B54="",$E54=""),"",$B54-$E54)</f>
        <v/>
      </c>
      <c r="G54" s="8" t="n"/>
      <c r="H54" s="8" t="n"/>
      <c r="I54" s="8" t="n"/>
      <c r="J54" s="12" t="n"/>
      <c r="K54" s="13">
        <f>IF(OR($J54="",N($G54)=0),"",$J54/$G54)</f>
        <v/>
      </c>
      <c r="L54" s="8" t="n"/>
      <c r="M54" s="8" t="n"/>
      <c r="N54" s="8" t="n"/>
      <c r="O54" s="8" t="n"/>
      <c r="P54" s="8" t="n"/>
      <c r="Q54" s="10">
        <f>IF(COUNT($L54:$P54)=0,"",SUM($L54:$P54))</f>
        <v/>
      </c>
      <c r="R54" s="14">
        <f>IF(OR($J54="",N($Q54)=0),"",$J54*1000/$Q54)</f>
        <v/>
      </c>
      <c r="S54" s="8" t="n"/>
      <c r="T54" s="8" t="n"/>
      <c r="U54" s="8" t="n"/>
      <c r="V54" s="15">
        <f>IF(N($Q54)=0,"",MAX(0,($Q54-$P54-SUM($S54:$U54)))/$Q54)</f>
        <v/>
      </c>
      <c r="W54" s="8" t="n"/>
      <c r="X54" s="8" t="n"/>
      <c r="Y54" s="8" t="n"/>
      <c r="Z54" s="8" t="n"/>
    </row>
    <row r="55">
      <c r="A55" s="8" t="n"/>
      <c r="B55" s="9" t="n"/>
      <c r="C55" s="8" t="n"/>
      <c r="D55" s="10">
        <f>IF($C55="","",IFERROR(INDEX(畝マスター!$B$2:$B$21,MATCH($C55,畝マスター!$A$2:$A$21,0)),""))</f>
        <v/>
      </c>
      <c r="E55" s="11">
        <f>IF($C55="","",IFERROR(INDEX(畝マスター!$E$2:$E$21,MATCH($C55,畝マスター!$A$2:$A$21,0)),""))</f>
        <v/>
      </c>
      <c r="F55" s="10">
        <f>IF(OR($B55="",$E55=""),"",$B55-$E55)</f>
        <v/>
      </c>
      <c r="G55" s="8" t="n"/>
      <c r="H55" s="8" t="n"/>
      <c r="I55" s="8" t="n"/>
      <c r="J55" s="12" t="n"/>
      <c r="K55" s="13">
        <f>IF(OR($J55="",N($G55)=0),"",$J55/$G55)</f>
        <v/>
      </c>
      <c r="L55" s="8" t="n"/>
      <c r="M55" s="8" t="n"/>
      <c r="N55" s="8" t="n"/>
      <c r="O55" s="8" t="n"/>
      <c r="P55" s="8" t="n"/>
      <c r="Q55" s="10">
        <f>IF(COUNT($L55:$P55)=0,"",SUM($L55:$P55))</f>
        <v/>
      </c>
      <c r="R55" s="14">
        <f>IF(OR($J55="",N($Q55)=0),"",$J55*1000/$Q55)</f>
        <v/>
      </c>
      <c r="S55" s="8" t="n"/>
      <c r="T55" s="8" t="n"/>
      <c r="U55" s="8" t="n"/>
      <c r="V55" s="15">
        <f>IF(N($Q55)=0,"",MAX(0,($Q55-$P55-SUM($S55:$U55)))/$Q55)</f>
        <v/>
      </c>
      <c r="W55" s="8" t="n"/>
      <c r="X55" s="8" t="n"/>
      <c r="Y55" s="8" t="n"/>
      <c r="Z55" s="8" t="n"/>
    </row>
    <row r="56">
      <c r="A56" s="8" t="n"/>
      <c r="B56" s="9" t="n"/>
      <c r="C56" s="8" t="n"/>
      <c r="D56" s="10">
        <f>IF($C56="","",IFERROR(INDEX(畝マスター!$B$2:$B$21,MATCH($C56,畝マスター!$A$2:$A$21,0)),""))</f>
        <v/>
      </c>
      <c r="E56" s="11">
        <f>IF($C56="","",IFERROR(INDEX(畝マスター!$E$2:$E$21,MATCH($C56,畝マスター!$A$2:$A$21,0)),""))</f>
        <v/>
      </c>
      <c r="F56" s="10">
        <f>IF(OR($B56="",$E56=""),"",$B56-$E56)</f>
        <v/>
      </c>
      <c r="G56" s="8" t="n"/>
      <c r="H56" s="8" t="n"/>
      <c r="I56" s="8" t="n"/>
      <c r="J56" s="12" t="n"/>
      <c r="K56" s="13">
        <f>IF(OR($J56="",N($G56)=0),"",$J56/$G56)</f>
        <v/>
      </c>
      <c r="L56" s="8" t="n"/>
      <c r="M56" s="8" t="n"/>
      <c r="N56" s="8" t="n"/>
      <c r="O56" s="8" t="n"/>
      <c r="P56" s="8" t="n"/>
      <c r="Q56" s="10">
        <f>IF(COUNT($L56:$P56)=0,"",SUM($L56:$P56))</f>
        <v/>
      </c>
      <c r="R56" s="14">
        <f>IF(OR($J56="",N($Q56)=0),"",$J56*1000/$Q56)</f>
        <v/>
      </c>
      <c r="S56" s="8" t="n"/>
      <c r="T56" s="8" t="n"/>
      <c r="U56" s="8" t="n"/>
      <c r="V56" s="15">
        <f>IF(N($Q56)=0,"",MAX(0,($Q56-$P56-SUM($S56:$U56)))/$Q56)</f>
        <v/>
      </c>
      <c r="W56" s="8" t="n"/>
      <c r="X56" s="8" t="n"/>
      <c r="Y56" s="8" t="n"/>
      <c r="Z56" s="8" t="n"/>
    </row>
    <row r="57">
      <c r="A57" s="8" t="n"/>
      <c r="B57" s="9" t="n"/>
      <c r="C57" s="8" t="n"/>
      <c r="D57" s="10">
        <f>IF($C57="","",IFERROR(INDEX(畝マスター!$B$2:$B$21,MATCH($C57,畝マスター!$A$2:$A$21,0)),""))</f>
        <v/>
      </c>
      <c r="E57" s="11">
        <f>IF($C57="","",IFERROR(INDEX(畝マスター!$E$2:$E$21,MATCH($C57,畝マスター!$A$2:$A$21,0)),""))</f>
        <v/>
      </c>
      <c r="F57" s="10">
        <f>IF(OR($B57="",$E57=""),"",$B57-$E57)</f>
        <v/>
      </c>
      <c r="G57" s="8" t="n"/>
      <c r="H57" s="8" t="n"/>
      <c r="I57" s="8" t="n"/>
      <c r="J57" s="12" t="n"/>
      <c r="K57" s="13">
        <f>IF(OR($J57="",N($G57)=0),"",$J57/$G57)</f>
        <v/>
      </c>
      <c r="L57" s="8" t="n"/>
      <c r="M57" s="8" t="n"/>
      <c r="N57" s="8" t="n"/>
      <c r="O57" s="8" t="n"/>
      <c r="P57" s="8" t="n"/>
      <c r="Q57" s="10">
        <f>IF(COUNT($L57:$P57)=0,"",SUM($L57:$P57))</f>
        <v/>
      </c>
      <c r="R57" s="14">
        <f>IF(OR($J57="",N($Q57)=0),"",$J57*1000/$Q57)</f>
        <v/>
      </c>
      <c r="S57" s="8" t="n"/>
      <c r="T57" s="8" t="n"/>
      <c r="U57" s="8" t="n"/>
      <c r="V57" s="15">
        <f>IF(N($Q57)=0,"",MAX(0,($Q57-$P57-SUM($S57:$U57)))/$Q57)</f>
        <v/>
      </c>
      <c r="W57" s="8" t="n"/>
      <c r="X57" s="8" t="n"/>
      <c r="Y57" s="8" t="n"/>
      <c r="Z57" s="8" t="n"/>
    </row>
    <row r="58">
      <c r="A58" s="8" t="n"/>
      <c r="B58" s="9" t="n"/>
      <c r="C58" s="8" t="n"/>
      <c r="D58" s="10">
        <f>IF($C58="","",IFERROR(INDEX(畝マスター!$B$2:$B$21,MATCH($C58,畝マスター!$A$2:$A$21,0)),""))</f>
        <v/>
      </c>
      <c r="E58" s="11">
        <f>IF($C58="","",IFERROR(INDEX(畝マスター!$E$2:$E$21,MATCH($C58,畝マスター!$A$2:$A$21,0)),""))</f>
        <v/>
      </c>
      <c r="F58" s="10">
        <f>IF(OR($B58="",$E58=""),"",$B58-$E58)</f>
        <v/>
      </c>
      <c r="G58" s="8" t="n"/>
      <c r="H58" s="8" t="n"/>
      <c r="I58" s="8" t="n"/>
      <c r="J58" s="12" t="n"/>
      <c r="K58" s="13">
        <f>IF(OR($J58="",N($G58)=0),"",$J58/$G58)</f>
        <v/>
      </c>
      <c r="L58" s="8" t="n"/>
      <c r="M58" s="8" t="n"/>
      <c r="N58" s="8" t="n"/>
      <c r="O58" s="8" t="n"/>
      <c r="P58" s="8" t="n"/>
      <c r="Q58" s="10">
        <f>IF(COUNT($L58:$P58)=0,"",SUM($L58:$P58))</f>
        <v/>
      </c>
      <c r="R58" s="14">
        <f>IF(OR($J58="",N($Q58)=0),"",$J58*1000/$Q58)</f>
        <v/>
      </c>
      <c r="S58" s="8" t="n"/>
      <c r="T58" s="8" t="n"/>
      <c r="U58" s="8" t="n"/>
      <c r="V58" s="15">
        <f>IF(N($Q58)=0,"",MAX(0,($Q58-$P58-SUM($S58:$U58)))/$Q58)</f>
        <v/>
      </c>
      <c r="W58" s="8" t="n"/>
      <c r="X58" s="8" t="n"/>
      <c r="Y58" s="8" t="n"/>
      <c r="Z58" s="8" t="n"/>
    </row>
    <row r="59">
      <c r="A59" s="8" t="n"/>
      <c r="B59" s="9" t="n"/>
      <c r="C59" s="8" t="n"/>
      <c r="D59" s="10">
        <f>IF($C59="","",IFERROR(INDEX(畝マスター!$B$2:$B$21,MATCH($C59,畝マスター!$A$2:$A$21,0)),""))</f>
        <v/>
      </c>
      <c r="E59" s="11">
        <f>IF($C59="","",IFERROR(INDEX(畝マスター!$E$2:$E$21,MATCH($C59,畝マスター!$A$2:$A$21,0)),""))</f>
        <v/>
      </c>
      <c r="F59" s="10">
        <f>IF(OR($B59="",$E59=""),"",$B59-$E59)</f>
        <v/>
      </c>
      <c r="G59" s="8" t="n"/>
      <c r="H59" s="8" t="n"/>
      <c r="I59" s="8" t="n"/>
      <c r="J59" s="12" t="n"/>
      <c r="K59" s="13">
        <f>IF(OR($J59="",N($G59)=0),"",$J59/$G59)</f>
        <v/>
      </c>
      <c r="L59" s="8" t="n"/>
      <c r="M59" s="8" t="n"/>
      <c r="N59" s="8" t="n"/>
      <c r="O59" s="8" t="n"/>
      <c r="P59" s="8" t="n"/>
      <c r="Q59" s="10">
        <f>IF(COUNT($L59:$P59)=0,"",SUM($L59:$P59))</f>
        <v/>
      </c>
      <c r="R59" s="14">
        <f>IF(OR($J59="",N($Q59)=0),"",$J59*1000/$Q59)</f>
        <v/>
      </c>
      <c r="S59" s="8" t="n"/>
      <c r="T59" s="8" t="n"/>
      <c r="U59" s="8" t="n"/>
      <c r="V59" s="15">
        <f>IF(N($Q59)=0,"",MAX(0,($Q59-$P59-SUM($S59:$U59)))/$Q59)</f>
        <v/>
      </c>
      <c r="W59" s="8" t="n"/>
      <c r="X59" s="8" t="n"/>
      <c r="Y59" s="8" t="n"/>
      <c r="Z59" s="8" t="n"/>
    </row>
    <row r="60">
      <c r="A60" s="8" t="n"/>
      <c r="B60" s="9" t="n"/>
      <c r="C60" s="8" t="n"/>
      <c r="D60" s="10">
        <f>IF($C60="","",IFERROR(INDEX(畝マスター!$B$2:$B$21,MATCH($C60,畝マスター!$A$2:$A$21,0)),""))</f>
        <v/>
      </c>
      <c r="E60" s="11">
        <f>IF($C60="","",IFERROR(INDEX(畝マスター!$E$2:$E$21,MATCH($C60,畝マスター!$A$2:$A$21,0)),""))</f>
        <v/>
      </c>
      <c r="F60" s="10">
        <f>IF(OR($B60="",$E60=""),"",$B60-$E60)</f>
        <v/>
      </c>
      <c r="G60" s="8" t="n"/>
      <c r="H60" s="8" t="n"/>
      <c r="I60" s="8" t="n"/>
      <c r="J60" s="12" t="n"/>
      <c r="K60" s="13">
        <f>IF(OR($J60="",N($G60)=0),"",$J60/$G60)</f>
        <v/>
      </c>
      <c r="L60" s="8" t="n"/>
      <c r="M60" s="8" t="n"/>
      <c r="N60" s="8" t="n"/>
      <c r="O60" s="8" t="n"/>
      <c r="P60" s="8" t="n"/>
      <c r="Q60" s="10">
        <f>IF(COUNT($L60:$P60)=0,"",SUM($L60:$P60))</f>
        <v/>
      </c>
      <c r="R60" s="14">
        <f>IF(OR($J60="",N($Q60)=0),"",$J60*1000/$Q60)</f>
        <v/>
      </c>
      <c r="S60" s="8" t="n"/>
      <c r="T60" s="8" t="n"/>
      <c r="U60" s="8" t="n"/>
      <c r="V60" s="15">
        <f>IF(N($Q60)=0,"",MAX(0,($Q60-$P60-SUM($S60:$U60)))/$Q60)</f>
        <v/>
      </c>
      <c r="W60" s="8" t="n"/>
      <c r="X60" s="8" t="n"/>
      <c r="Y60" s="8" t="n"/>
      <c r="Z60" s="8" t="n"/>
    </row>
    <row r="61">
      <c r="A61" s="8" t="n"/>
      <c r="B61" s="9" t="n"/>
      <c r="C61" s="8" t="n"/>
      <c r="D61" s="10">
        <f>IF($C61="","",IFERROR(INDEX(畝マスター!$B$2:$B$21,MATCH($C61,畝マスター!$A$2:$A$21,0)),""))</f>
        <v/>
      </c>
      <c r="E61" s="11">
        <f>IF($C61="","",IFERROR(INDEX(畝マスター!$E$2:$E$21,MATCH($C61,畝マスター!$A$2:$A$21,0)),""))</f>
        <v/>
      </c>
      <c r="F61" s="10">
        <f>IF(OR($B61="",$E61=""),"",$B61-$E61)</f>
        <v/>
      </c>
      <c r="G61" s="8" t="n"/>
      <c r="H61" s="8" t="n"/>
      <c r="I61" s="8" t="n"/>
      <c r="J61" s="12" t="n"/>
      <c r="K61" s="13">
        <f>IF(OR($J61="",N($G61)=0),"",$J61/$G61)</f>
        <v/>
      </c>
      <c r="L61" s="8" t="n"/>
      <c r="M61" s="8" t="n"/>
      <c r="N61" s="8" t="n"/>
      <c r="O61" s="8" t="n"/>
      <c r="P61" s="8" t="n"/>
      <c r="Q61" s="10">
        <f>IF(COUNT($L61:$P61)=0,"",SUM($L61:$P61))</f>
        <v/>
      </c>
      <c r="R61" s="14">
        <f>IF(OR($J61="",N($Q61)=0),"",$J61*1000/$Q61)</f>
        <v/>
      </c>
      <c r="S61" s="8" t="n"/>
      <c r="T61" s="8" t="n"/>
      <c r="U61" s="8" t="n"/>
      <c r="V61" s="15">
        <f>IF(N($Q61)=0,"",MAX(0,($Q61-$P61-SUM($S61:$U61)))/$Q61)</f>
        <v/>
      </c>
      <c r="W61" s="8" t="n"/>
      <c r="X61" s="8" t="n"/>
      <c r="Y61" s="8" t="n"/>
      <c r="Z61" s="8" t="n"/>
    </row>
    <row r="62">
      <c r="A62" s="8" t="n"/>
      <c r="B62" s="9" t="n"/>
      <c r="C62" s="8" t="n"/>
      <c r="D62" s="10">
        <f>IF($C62="","",IFERROR(INDEX(畝マスター!$B$2:$B$21,MATCH($C62,畝マスター!$A$2:$A$21,0)),""))</f>
        <v/>
      </c>
      <c r="E62" s="11">
        <f>IF($C62="","",IFERROR(INDEX(畝マスター!$E$2:$E$21,MATCH($C62,畝マスター!$A$2:$A$21,0)),""))</f>
        <v/>
      </c>
      <c r="F62" s="10">
        <f>IF(OR($B62="",$E62=""),"",$B62-$E62)</f>
        <v/>
      </c>
      <c r="G62" s="8" t="n"/>
      <c r="H62" s="8" t="n"/>
      <c r="I62" s="8" t="n"/>
      <c r="J62" s="12" t="n"/>
      <c r="K62" s="13">
        <f>IF(OR($J62="",N($G62)=0),"",$J62/$G62)</f>
        <v/>
      </c>
      <c r="L62" s="8" t="n"/>
      <c r="M62" s="8" t="n"/>
      <c r="N62" s="8" t="n"/>
      <c r="O62" s="8" t="n"/>
      <c r="P62" s="8" t="n"/>
      <c r="Q62" s="10">
        <f>IF(COUNT($L62:$P62)=0,"",SUM($L62:$P62))</f>
        <v/>
      </c>
      <c r="R62" s="14">
        <f>IF(OR($J62="",N($Q62)=0),"",$J62*1000/$Q62)</f>
        <v/>
      </c>
      <c r="S62" s="8" t="n"/>
      <c r="T62" s="8" t="n"/>
      <c r="U62" s="8" t="n"/>
      <c r="V62" s="15">
        <f>IF(N($Q62)=0,"",MAX(0,($Q62-$P62-SUM($S62:$U62)))/$Q62)</f>
        <v/>
      </c>
      <c r="W62" s="8" t="n"/>
      <c r="X62" s="8" t="n"/>
      <c r="Y62" s="8" t="n"/>
      <c r="Z62" s="8" t="n"/>
    </row>
    <row r="63">
      <c r="A63" s="8" t="n"/>
      <c r="B63" s="9" t="n"/>
      <c r="C63" s="8" t="n"/>
      <c r="D63" s="10">
        <f>IF($C63="","",IFERROR(INDEX(畝マスター!$B$2:$B$21,MATCH($C63,畝マスター!$A$2:$A$21,0)),""))</f>
        <v/>
      </c>
      <c r="E63" s="11">
        <f>IF($C63="","",IFERROR(INDEX(畝マスター!$E$2:$E$21,MATCH($C63,畝マスター!$A$2:$A$21,0)),""))</f>
        <v/>
      </c>
      <c r="F63" s="10">
        <f>IF(OR($B63="",$E63=""),"",$B63-$E63)</f>
        <v/>
      </c>
      <c r="G63" s="8" t="n"/>
      <c r="H63" s="8" t="n"/>
      <c r="I63" s="8" t="n"/>
      <c r="J63" s="12" t="n"/>
      <c r="K63" s="13">
        <f>IF(OR($J63="",N($G63)=0),"",$J63/$G63)</f>
        <v/>
      </c>
      <c r="L63" s="8" t="n"/>
      <c r="M63" s="8" t="n"/>
      <c r="N63" s="8" t="n"/>
      <c r="O63" s="8" t="n"/>
      <c r="P63" s="8" t="n"/>
      <c r="Q63" s="10">
        <f>IF(COUNT($L63:$P63)=0,"",SUM($L63:$P63))</f>
        <v/>
      </c>
      <c r="R63" s="14">
        <f>IF(OR($J63="",N($Q63)=0),"",$J63*1000/$Q63)</f>
        <v/>
      </c>
      <c r="S63" s="8" t="n"/>
      <c r="T63" s="8" t="n"/>
      <c r="U63" s="8" t="n"/>
      <c r="V63" s="15">
        <f>IF(N($Q63)=0,"",MAX(0,($Q63-$P63-SUM($S63:$U63)))/$Q63)</f>
        <v/>
      </c>
      <c r="W63" s="8" t="n"/>
      <c r="X63" s="8" t="n"/>
      <c r="Y63" s="8" t="n"/>
      <c r="Z63" s="8" t="n"/>
    </row>
    <row r="64">
      <c r="A64" s="8" t="n"/>
      <c r="B64" s="9" t="n"/>
      <c r="C64" s="8" t="n"/>
      <c r="D64" s="10">
        <f>IF($C64="","",IFERROR(INDEX(畝マスター!$B$2:$B$21,MATCH($C64,畝マスター!$A$2:$A$21,0)),""))</f>
        <v/>
      </c>
      <c r="E64" s="11">
        <f>IF($C64="","",IFERROR(INDEX(畝マスター!$E$2:$E$21,MATCH($C64,畝マスター!$A$2:$A$21,0)),""))</f>
        <v/>
      </c>
      <c r="F64" s="10">
        <f>IF(OR($B64="",$E64=""),"",$B64-$E64)</f>
        <v/>
      </c>
      <c r="G64" s="8" t="n"/>
      <c r="H64" s="8" t="n"/>
      <c r="I64" s="8" t="n"/>
      <c r="J64" s="12" t="n"/>
      <c r="K64" s="13">
        <f>IF(OR($J64="",N($G64)=0),"",$J64/$G64)</f>
        <v/>
      </c>
      <c r="L64" s="8" t="n"/>
      <c r="M64" s="8" t="n"/>
      <c r="N64" s="8" t="n"/>
      <c r="O64" s="8" t="n"/>
      <c r="P64" s="8" t="n"/>
      <c r="Q64" s="10">
        <f>IF(COUNT($L64:$P64)=0,"",SUM($L64:$P64))</f>
        <v/>
      </c>
      <c r="R64" s="14">
        <f>IF(OR($J64="",N($Q64)=0),"",$J64*1000/$Q64)</f>
        <v/>
      </c>
      <c r="S64" s="8" t="n"/>
      <c r="T64" s="8" t="n"/>
      <c r="U64" s="8" t="n"/>
      <c r="V64" s="15">
        <f>IF(N($Q64)=0,"",MAX(0,($Q64-$P64-SUM($S64:$U64)))/$Q64)</f>
        <v/>
      </c>
      <c r="W64" s="8" t="n"/>
      <c r="X64" s="8" t="n"/>
      <c r="Y64" s="8" t="n"/>
      <c r="Z64" s="8" t="n"/>
    </row>
    <row r="65">
      <c r="A65" s="8" t="n"/>
      <c r="B65" s="9" t="n"/>
      <c r="C65" s="8" t="n"/>
      <c r="D65" s="10">
        <f>IF($C65="","",IFERROR(INDEX(畝マスター!$B$2:$B$21,MATCH($C65,畝マスター!$A$2:$A$21,0)),""))</f>
        <v/>
      </c>
      <c r="E65" s="11">
        <f>IF($C65="","",IFERROR(INDEX(畝マスター!$E$2:$E$21,MATCH($C65,畝マスター!$A$2:$A$21,0)),""))</f>
        <v/>
      </c>
      <c r="F65" s="10">
        <f>IF(OR($B65="",$E65=""),"",$B65-$E65)</f>
        <v/>
      </c>
      <c r="G65" s="8" t="n"/>
      <c r="H65" s="8" t="n"/>
      <c r="I65" s="8" t="n"/>
      <c r="J65" s="12" t="n"/>
      <c r="K65" s="13">
        <f>IF(OR($J65="",N($G65)=0),"",$J65/$G65)</f>
        <v/>
      </c>
      <c r="L65" s="8" t="n"/>
      <c r="M65" s="8" t="n"/>
      <c r="N65" s="8" t="n"/>
      <c r="O65" s="8" t="n"/>
      <c r="P65" s="8" t="n"/>
      <c r="Q65" s="10">
        <f>IF(COUNT($L65:$P65)=0,"",SUM($L65:$P65))</f>
        <v/>
      </c>
      <c r="R65" s="14">
        <f>IF(OR($J65="",N($Q65)=0),"",$J65*1000/$Q65)</f>
        <v/>
      </c>
      <c r="S65" s="8" t="n"/>
      <c r="T65" s="8" t="n"/>
      <c r="U65" s="8" t="n"/>
      <c r="V65" s="15">
        <f>IF(N($Q65)=0,"",MAX(0,($Q65-$P65-SUM($S65:$U65)))/$Q65)</f>
        <v/>
      </c>
      <c r="W65" s="8" t="n"/>
      <c r="X65" s="8" t="n"/>
      <c r="Y65" s="8" t="n"/>
      <c r="Z65" s="8" t="n"/>
    </row>
    <row r="66">
      <c r="A66" s="8" t="n"/>
      <c r="B66" s="9" t="n"/>
      <c r="C66" s="8" t="n"/>
      <c r="D66" s="10">
        <f>IF($C66="","",IFERROR(INDEX(畝マスター!$B$2:$B$21,MATCH($C66,畝マスター!$A$2:$A$21,0)),""))</f>
        <v/>
      </c>
      <c r="E66" s="11">
        <f>IF($C66="","",IFERROR(INDEX(畝マスター!$E$2:$E$21,MATCH($C66,畝マスター!$A$2:$A$21,0)),""))</f>
        <v/>
      </c>
      <c r="F66" s="10">
        <f>IF(OR($B66="",$E66=""),"",$B66-$E66)</f>
        <v/>
      </c>
      <c r="G66" s="8" t="n"/>
      <c r="H66" s="8" t="n"/>
      <c r="I66" s="8" t="n"/>
      <c r="J66" s="12" t="n"/>
      <c r="K66" s="13">
        <f>IF(OR($J66="",N($G66)=0),"",$J66/$G66)</f>
        <v/>
      </c>
      <c r="L66" s="8" t="n"/>
      <c r="M66" s="8" t="n"/>
      <c r="N66" s="8" t="n"/>
      <c r="O66" s="8" t="n"/>
      <c r="P66" s="8" t="n"/>
      <c r="Q66" s="10">
        <f>IF(COUNT($L66:$P66)=0,"",SUM($L66:$P66))</f>
        <v/>
      </c>
      <c r="R66" s="14">
        <f>IF(OR($J66="",N($Q66)=0),"",$J66*1000/$Q66)</f>
        <v/>
      </c>
      <c r="S66" s="8" t="n"/>
      <c r="T66" s="8" t="n"/>
      <c r="U66" s="8" t="n"/>
      <c r="V66" s="15">
        <f>IF(N($Q66)=0,"",MAX(0,($Q66-$P66-SUM($S66:$U66)))/$Q66)</f>
        <v/>
      </c>
      <c r="W66" s="8" t="n"/>
      <c r="X66" s="8" t="n"/>
      <c r="Y66" s="8" t="n"/>
      <c r="Z66" s="8" t="n"/>
    </row>
    <row r="67">
      <c r="A67" s="8" t="n"/>
      <c r="B67" s="9" t="n"/>
      <c r="C67" s="8" t="n"/>
      <c r="D67" s="10">
        <f>IF($C67="","",IFERROR(INDEX(畝マスター!$B$2:$B$21,MATCH($C67,畝マスター!$A$2:$A$21,0)),""))</f>
        <v/>
      </c>
      <c r="E67" s="11">
        <f>IF($C67="","",IFERROR(INDEX(畝マスター!$E$2:$E$21,MATCH($C67,畝マスター!$A$2:$A$21,0)),""))</f>
        <v/>
      </c>
      <c r="F67" s="10">
        <f>IF(OR($B67="",$E67=""),"",$B67-$E67)</f>
        <v/>
      </c>
      <c r="G67" s="8" t="n"/>
      <c r="H67" s="8" t="n"/>
      <c r="I67" s="8" t="n"/>
      <c r="J67" s="12" t="n"/>
      <c r="K67" s="13">
        <f>IF(OR($J67="",N($G67)=0),"",$J67/$G67)</f>
        <v/>
      </c>
      <c r="L67" s="8" t="n"/>
      <c r="M67" s="8" t="n"/>
      <c r="N67" s="8" t="n"/>
      <c r="O67" s="8" t="n"/>
      <c r="P67" s="8" t="n"/>
      <c r="Q67" s="10">
        <f>IF(COUNT($L67:$P67)=0,"",SUM($L67:$P67))</f>
        <v/>
      </c>
      <c r="R67" s="14">
        <f>IF(OR($J67="",N($Q67)=0),"",$J67*1000/$Q67)</f>
        <v/>
      </c>
      <c r="S67" s="8" t="n"/>
      <c r="T67" s="8" t="n"/>
      <c r="U67" s="8" t="n"/>
      <c r="V67" s="15">
        <f>IF(N($Q67)=0,"",MAX(0,($Q67-$P67-SUM($S67:$U67)))/$Q67)</f>
        <v/>
      </c>
      <c r="W67" s="8" t="n"/>
      <c r="X67" s="8" t="n"/>
      <c r="Y67" s="8" t="n"/>
      <c r="Z67" s="8" t="n"/>
    </row>
    <row r="68">
      <c r="A68" s="8" t="n"/>
      <c r="B68" s="9" t="n"/>
      <c r="C68" s="8" t="n"/>
      <c r="D68" s="10">
        <f>IF($C68="","",IFERROR(INDEX(畝マスター!$B$2:$B$21,MATCH($C68,畝マスター!$A$2:$A$21,0)),""))</f>
        <v/>
      </c>
      <c r="E68" s="11">
        <f>IF($C68="","",IFERROR(INDEX(畝マスター!$E$2:$E$21,MATCH($C68,畝マスター!$A$2:$A$21,0)),""))</f>
        <v/>
      </c>
      <c r="F68" s="10">
        <f>IF(OR($B68="",$E68=""),"",$B68-$E68)</f>
        <v/>
      </c>
      <c r="G68" s="8" t="n"/>
      <c r="H68" s="8" t="n"/>
      <c r="I68" s="8" t="n"/>
      <c r="J68" s="12" t="n"/>
      <c r="K68" s="13">
        <f>IF(OR($J68="",N($G68)=0),"",$J68/$G68)</f>
        <v/>
      </c>
      <c r="L68" s="8" t="n"/>
      <c r="M68" s="8" t="n"/>
      <c r="N68" s="8" t="n"/>
      <c r="O68" s="8" t="n"/>
      <c r="P68" s="8" t="n"/>
      <c r="Q68" s="10">
        <f>IF(COUNT($L68:$P68)=0,"",SUM($L68:$P68))</f>
        <v/>
      </c>
      <c r="R68" s="14">
        <f>IF(OR($J68="",N($Q68)=0),"",$J68*1000/$Q68)</f>
        <v/>
      </c>
      <c r="S68" s="8" t="n"/>
      <c r="T68" s="8" t="n"/>
      <c r="U68" s="8" t="n"/>
      <c r="V68" s="15">
        <f>IF(N($Q68)=0,"",MAX(0,($Q68-$P68-SUM($S68:$U68)))/$Q68)</f>
        <v/>
      </c>
      <c r="W68" s="8" t="n"/>
      <c r="X68" s="8" t="n"/>
      <c r="Y68" s="8" t="n"/>
      <c r="Z68" s="8" t="n"/>
    </row>
    <row r="69">
      <c r="A69" s="8" t="n"/>
      <c r="B69" s="9" t="n"/>
      <c r="C69" s="8" t="n"/>
      <c r="D69" s="10">
        <f>IF($C69="","",IFERROR(INDEX(畝マスター!$B$2:$B$21,MATCH($C69,畝マスター!$A$2:$A$21,0)),""))</f>
        <v/>
      </c>
      <c r="E69" s="11">
        <f>IF($C69="","",IFERROR(INDEX(畝マスター!$E$2:$E$21,MATCH($C69,畝マスター!$A$2:$A$21,0)),""))</f>
        <v/>
      </c>
      <c r="F69" s="10">
        <f>IF(OR($B69="",$E69=""),"",$B69-$E69)</f>
        <v/>
      </c>
      <c r="G69" s="8" t="n"/>
      <c r="H69" s="8" t="n"/>
      <c r="I69" s="8" t="n"/>
      <c r="J69" s="12" t="n"/>
      <c r="K69" s="13">
        <f>IF(OR($J69="",N($G69)=0),"",$J69/$G69)</f>
        <v/>
      </c>
      <c r="L69" s="8" t="n"/>
      <c r="M69" s="8" t="n"/>
      <c r="N69" s="8" t="n"/>
      <c r="O69" s="8" t="n"/>
      <c r="P69" s="8" t="n"/>
      <c r="Q69" s="10">
        <f>IF(COUNT($L69:$P69)=0,"",SUM($L69:$P69))</f>
        <v/>
      </c>
      <c r="R69" s="14">
        <f>IF(OR($J69="",N($Q69)=0),"",$J69*1000/$Q69)</f>
        <v/>
      </c>
      <c r="S69" s="8" t="n"/>
      <c r="T69" s="8" t="n"/>
      <c r="U69" s="8" t="n"/>
      <c r="V69" s="15">
        <f>IF(N($Q69)=0,"",MAX(0,($Q69-$P69-SUM($S69:$U69)))/$Q69)</f>
        <v/>
      </c>
      <c r="W69" s="8" t="n"/>
      <c r="X69" s="8" t="n"/>
      <c r="Y69" s="8" t="n"/>
      <c r="Z69" s="8" t="n"/>
    </row>
    <row r="70">
      <c r="A70" s="8" t="n"/>
      <c r="B70" s="9" t="n"/>
      <c r="C70" s="8" t="n"/>
      <c r="D70" s="10">
        <f>IF($C70="","",IFERROR(INDEX(畝マスター!$B$2:$B$21,MATCH($C70,畝マスター!$A$2:$A$21,0)),""))</f>
        <v/>
      </c>
      <c r="E70" s="11">
        <f>IF($C70="","",IFERROR(INDEX(畝マスター!$E$2:$E$21,MATCH($C70,畝マスター!$A$2:$A$21,0)),""))</f>
        <v/>
      </c>
      <c r="F70" s="10">
        <f>IF(OR($B70="",$E70=""),"",$B70-$E70)</f>
        <v/>
      </c>
      <c r="G70" s="8" t="n"/>
      <c r="H70" s="8" t="n"/>
      <c r="I70" s="8" t="n"/>
      <c r="J70" s="12" t="n"/>
      <c r="K70" s="13">
        <f>IF(OR($J70="",N($G70)=0),"",$J70/$G70)</f>
        <v/>
      </c>
      <c r="L70" s="8" t="n"/>
      <c r="M70" s="8" t="n"/>
      <c r="N70" s="8" t="n"/>
      <c r="O70" s="8" t="n"/>
      <c r="P70" s="8" t="n"/>
      <c r="Q70" s="10">
        <f>IF(COUNT($L70:$P70)=0,"",SUM($L70:$P70))</f>
        <v/>
      </c>
      <c r="R70" s="14">
        <f>IF(OR($J70="",N($Q70)=0),"",$J70*1000/$Q70)</f>
        <v/>
      </c>
      <c r="S70" s="8" t="n"/>
      <c r="T70" s="8" t="n"/>
      <c r="U70" s="8" t="n"/>
      <c r="V70" s="15">
        <f>IF(N($Q70)=0,"",MAX(0,($Q70-$P70-SUM($S70:$U70)))/$Q70)</f>
        <v/>
      </c>
      <c r="W70" s="8" t="n"/>
      <c r="X70" s="8" t="n"/>
      <c r="Y70" s="8" t="n"/>
      <c r="Z70" s="8" t="n"/>
    </row>
    <row r="71">
      <c r="A71" s="8" t="n"/>
      <c r="B71" s="9" t="n"/>
      <c r="C71" s="8" t="n"/>
      <c r="D71" s="10">
        <f>IF($C71="","",IFERROR(INDEX(畝マスター!$B$2:$B$21,MATCH($C71,畝マスター!$A$2:$A$21,0)),""))</f>
        <v/>
      </c>
      <c r="E71" s="11">
        <f>IF($C71="","",IFERROR(INDEX(畝マスター!$E$2:$E$21,MATCH($C71,畝マスター!$A$2:$A$21,0)),""))</f>
        <v/>
      </c>
      <c r="F71" s="10">
        <f>IF(OR($B71="",$E71=""),"",$B71-$E71)</f>
        <v/>
      </c>
      <c r="G71" s="8" t="n"/>
      <c r="H71" s="8" t="n"/>
      <c r="I71" s="8" t="n"/>
      <c r="J71" s="12" t="n"/>
      <c r="K71" s="13">
        <f>IF(OR($J71="",N($G71)=0),"",$J71/$G71)</f>
        <v/>
      </c>
      <c r="L71" s="8" t="n"/>
      <c r="M71" s="8" t="n"/>
      <c r="N71" s="8" t="n"/>
      <c r="O71" s="8" t="n"/>
      <c r="P71" s="8" t="n"/>
      <c r="Q71" s="10">
        <f>IF(COUNT($L71:$P71)=0,"",SUM($L71:$P71))</f>
        <v/>
      </c>
      <c r="R71" s="14">
        <f>IF(OR($J71="",N($Q71)=0),"",$J71*1000/$Q71)</f>
        <v/>
      </c>
      <c r="S71" s="8" t="n"/>
      <c r="T71" s="8" t="n"/>
      <c r="U71" s="8" t="n"/>
      <c r="V71" s="15">
        <f>IF(N($Q71)=0,"",MAX(0,($Q71-$P71-SUM($S71:$U71)))/$Q71)</f>
        <v/>
      </c>
      <c r="W71" s="8" t="n"/>
      <c r="X71" s="8" t="n"/>
      <c r="Y71" s="8" t="n"/>
      <c r="Z71" s="8" t="n"/>
    </row>
    <row r="72">
      <c r="A72" s="8" t="n"/>
      <c r="B72" s="9" t="n"/>
      <c r="C72" s="8" t="n"/>
      <c r="D72" s="10">
        <f>IF($C72="","",IFERROR(INDEX(畝マスター!$B$2:$B$21,MATCH($C72,畝マスター!$A$2:$A$21,0)),""))</f>
        <v/>
      </c>
      <c r="E72" s="11">
        <f>IF($C72="","",IFERROR(INDEX(畝マスター!$E$2:$E$21,MATCH($C72,畝マスター!$A$2:$A$21,0)),""))</f>
        <v/>
      </c>
      <c r="F72" s="10">
        <f>IF(OR($B72="",$E72=""),"",$B72-$E72)</f>
        <v/>
      </c>
      <c r="G72" s="8" t="n"/>
      <c r="H72" s="8" t="n"/>
      <c r="I72" s="8" t="n"/>
      <c r="J72" s="12" t="n"/>
      <c r="K72" s="13">
        <f>IF(OR($J72="",N($G72)=0),"",$J72/$G72)</f>
        <v/>
      </c>
      <c r="L72" s="8" t="n"/>
      <c r="M72" s="8" t="n"/>
      <c r="N72" s="8" t="n"/>
      <c r="O72" s="8" t="n"/>
      <c r="P72" s="8" t="n"/>
      <c r="Q72" s="10">
        <f>IF(COUNT($L72:$P72)=0,"",SUM($L72:$P72))</f>
        <v/>
      </c>
      <c r="R72" s="14">
        <f>IF(OR($J72="",N($Q72)=0),"",$J72*1000/$Q72)</f>
        <v/>
      </c>
      <c r="S72" s="8" t="n"/>
      <c r="T72" s="8" t="n"/>
      <c r="U72" s="8" t="n"/>
      <c r="V72" s="15">
        <f>IF(N($Q72)=0,"",MAX(0,($Q72-$P72-SUM($S72:$U72)))/$Q72)</f>
        <v/>
      </c>
      <c r="W72" s="8" t="n"/>
      <c r="X72" s="8" t="n"/>
      <c r="Y72" s="8" t="n"/>
      <c r="Z72" s="8" t="n"/>
    </row>
    <row r="73">
      <c r="A73" s="8" t="n"/>
      <c r="B73" s="9" t="n"/>
      <c r="C73" s="8" t="n"/>
      <c r="D73" s="10">
        <f>IF($C73="","",IFERROR(INDEX(畝マスター!$B$2:$B$21,MATCH($C73,畝マスター!$A$2:$A$21,0)),""))</f>
        <v/>
      </c>
      <c r="E73" s="11">
        <f>IF($C73="","",IFERROR(INDEX(畝マスター!$E$2:$E$21,MATCH($C73,畝マスター!$A$2:$A$21,0)),""))</f>
        <v/>
      </c>
      <c r="F73" s="10">
        <f>IF(OR($B73="",$E73=""),"",$B73-$E73)</f>
        <v/>
      </c>
      <c r="G73" s="8" t="n"/>
      <c r="H73" s="8" t="n"/>
      <c r="I73" s="8" t="n"/>
      <c r="J73" s="12" t="n"/>
      <c r="K73" s="13">
        <f>IF(OR($J73="",N($G73)=0),"",$J73/$G73)</f>
        <v/>
      </c>
      <c r="L73" s="8" t="n"/>
      <c r="M73" s="8" t="n"/>
      <c r="N73" s="8" t="n"/>
      <c r="O73" s="8" t="n"/>
      <c r="P73" s="8" t="n"/>
      <c r="Q73" s="10">
        <f>IF(COUNT($L73:$P73)=0,"",SUM($L73:$P73))</f>
        <v/>
      </c>
      <c r="R73" s="14">
        <f>IF(OR($J73="",N($Q73)=0),"",$J73*1000/$Q73)</f>
        <v/>
      </c>
      <c r="S73" s="8" t="n"/>
      <c r="T73" s="8" t="n"/>
      <c r="U73" s="8" t="n"/>
      <c r="V73" s="15">
        <f>IF(N($Q73)=0,"",MAX(0,($Q73-$P73-SUM($S73:$U73)))/$Q73)</f>
        <v/>
      </c>
      <c r="W73" s="8" t="n"/>
      <c r="X73" s="8" t="n"/>
      <c r="Y73" s="8" t="n"/>
      <c r="Z73" s="8" t="n"/>
    </row>
    <row r="74">
      <c r="A74" s="8" t="n"/>
      <c r="B74" s="9" t="n"/>
      <c r="C74" s="8" t="n"/>
      <c r="D74" s="10">
        <f>IF($C74="","",IFERROR(INDEX(畝マスター!$B$2:$B$21,MATCH($C74,畝マスター!$A$2:$A$21,0)),""))</f>
        <v/>
      </c>
      <c r="E74" s="11">
        <f>IF($C74="","",IFERROR(INDEX(畝マスター!$E$2:$E$21,MATCH($C74,畝マスター!$A$2:$A$21,0)),""))</f>
        <v/>
      </c>
      <c r="F74" s="10">
        <f>IF(OR($B74="",$E74=""),"",$B74-$E74)</f>
        <v/>
      </c>
      <c r="G74" s="8" t="n"/>
      <c r="H74" s="8" t="n"/>
      <c r="I74" s="8" t="n"/>
      <c r="J74" s="12" t="n"/>
      <c r="K74" s="13">
        <f>IF(OR($J74="",N($G74)=0),"",$J74/$G74)</f>
        <v/>
      </c>
      <c r="L74" s="8" t="n"/>
      <c r="M74" s="8" t="n"/>
      <c r="N74" s="8" t="n"/>
      <c r="O74" s="8" t="n"/>
      <c r="P74" s="8" t="n"/>
      <c r="Q74" s="10">
        <f>IF(COUNT($L74:$P74)=0,"",SUM($L74:$P74))</f>
        <v/>
      </c>
      <c r="R74" s="14">
        <f>IF(OR($J74="",N($Q74)=0),"",$J74*1000/$Q74)</f>
        <v/>
      </c>
      <c r="S74" s="8" t="n"/>
      <c r="T74" s="8" t="n"/>
      <c r="U74" s="8" t="n"/>
      <c r="V74" s="15">
        <f>IF(N($Q74)=0,"",MAX(0,($Q74-$P74-SUM($S74:$U74)))/$Q74)</f>
        <v/>
      </c>
      <c r="W74" s="8" t="n"/>
      <c r="X74" s="8" t="n"/>
      <c r="Y74" s="8" t="n"/>
      <c r="Z74" s="8" t="n"/>
    </row>
    <row r="75">
      <c r="A75" s="8" t="n"/>
      <c r="B75" s="9" t="n"/>
      <c r="C75" s="8" t="n"/>
      <c r="D75" s="10">
        <f>IF($C75="","",IFERROR(INDEX(畝マスター!$B$2:$B$21,MATCH($C75,畝マスター!$A$2:$A$21,0)),""))</f>
        <v/>
      </c>
      <c r="E75" s="11">
        <f>IF($C75="","",IFERROR(INDEX(畝マスター!$E$2:$E$21,MATCH($C75,畝マスター!$A$2:$A$21,0)),""))</f>
        <v/>
      </c>
      <c r="F75" s="10">
        <f>IF(OR($B75="",$E75=""),"",$B75-$E75)</f>
        <v/>
      </c>
      <c r="G75" s="8" t="n"/>
      <c r="H75" s="8" t="n"/>
      <c r="I75" s="8" t="n"/>
      <c r="J75" s="12" t="n"/>
      <c r="K75" s="13">
        <f>IF(OR($J75="",N($G75)=0),"",$J75/$G75)</f>
        <v/>
      </c>
      <c r="L75" s="8" t="n"/>
      <c r="M75" s="8" t="n"/>
      <c r="N75" s="8" t="n"/>
      <c r="O75" s="8" t="n"/>
      <c r="P75" s="8" t="n"/>
      <c r="Q75" s="10">
        <f>IF(COUNT($L75:$P75)=0,"",SUM($L75:$P75))</f>
        <v/>
      </c>
      <c r="R75" s="14">
        <f>IF(OR($J75="",N($Q75)=0),"",$J75*1000/$Q75)</f>
        <v/>
      </c>
      <c r="S75" s="8" t="n"/>
      <c r="T75" s="8" t="n"/>
      <c r="U75" s="8" t="n"/>
      <c r="V75" s="15">
        <f>IF(N($Q75)=0,"",MAX(0,($Q75-$P75-SUM($S75:$U75)))/$Q75)</f>
        <v/>
      </c>
      <c r="W75" s="8" t="n"/>
      <c r="X75" s="8" t="n"/>
      <c r="Y75" s="8" t="n"/>
      <c r="Z75" s="8" t="n"/>
    </row>
    <row r="76">
      <c r="A76" s="8" t="n"/>
      <c r="B76" s="9" t="n"/>
      <c r="C76" s="8" t="n"/>
      <c r="D76" s="10">
        <f>IF($C76="","",IFERROR(INDEX(畝マスター!$B$2:$B$21,MATCH($C76,畝マスター!$A$2:$A$21,0)),""))</f>
        <v/>
      </c>
      <c r="E76" s="11">
        <f>IF($C76="","",IFERROR(INDEX(畝マスター!$E$2:$E$21,MATCH($C76,畝マスター!$A$2:$A$21,0)),""))</f>
        <v/>
      </c>
      <c r="F76" s="10">
        <f>IF(OR($B76="",$E76=""),"",$B76-$E76)</f>
        <v/>
      </c>
      <c r="G76" s="8" t="n"/>
      <c r="H76" s="8" t="n"/>
      <c r="I76" s="8" t="n"/>
      <c r="J76" s="12" t="n"/>
      <c r="K76" s="13">
        <f>IF(OR($J76="",N($G76)=0),"",$J76/$G76)</f>
        <v/>
      </c>
      <c r="L76" s="8" t="n"/>
      <c r="M76" s="8" t="n"/>
      <c r="N76" s="8" t="n"/>
      <c r="O76" s="8" t="n"/>
      <c r="P76" s="8" t="n"/>
      <c r="Q76" s="10">
        <f>IF(COUNT($L76:$P76)=0,"",SUM($L76:$P76))</f>
        <v/>
      </c>
      <c r="R76" s="14">
        <f>IF(OR($J76="",N($Q76)=0),"",$J76*1000/$Q76)</f>
        <v/>
      </c>
      <c r="S76" s="8" t="n"/>
      <c r="T76" s="8" t="n"/>
      <c r="U76" s="8" t="n"/>
      <c r="V76" s="15">
        <f>IF(N($Q76)=0,"",MAX(0,($Q76-$P76-SUM($S76:$U76)))/$Q76)</f>
        <v/>
      </c>
      <c r="W76" s="8" t="n"/>
      <c r="X76" s="8" t="n"/>
      <c r="Y76" s="8" t="n"/>
      <c r="Z76" s="8" t="n"/>
    </row>
    <row r="77">
      <c r="A77" s="8" t="n"/>
      <c r="B77" s="9" t="n"/>
      <c r="C77" s="8" t="n"/>
      <c r="D77" s="10">
        <f>IF($C77="","",IFERROR(INDEX(畝マスター!$B$2:$B$21,MATCH($C77,畝マスター!$A$2:$A$21,0)),""))</f>
        <v/>
      </c>
      <c r="E77" s="11">
        <f>IF($C77="","",IFERROR(INDEX(畝マスター!$E$2:$E$21,MATCH($C77,畝マスター!$A$2:$A$21,0)),""))</f>
        <v/>
      </c>
      <c r="F77" s="10">
        <f>IF(OR($B77="",$E77=""),"",$B77-$E77)</f>
        <v/>
      </c>
      <c r="G77" s="8" t="n"/>
      <c r="H77" s="8" t="n"/>
      <c r="I77" s="8" t="n"/>
      <c r="J77" s="12" t="n"/>
      <c r="K77" s="13">
        <f>IF(OR($J77="",N($G77)=0),"",$J77/$G77)</f>
        <v/>
      </c>
      <c r="L77" s="8" t="n"/>
      <c r="M77" s="8" t="n"/>
      <c r="N77" s="8" t="n"/>
      <c r="O77" s="8" t="n"/>
      <c r="P77" s="8" t="n"/>
      <c r="Q77" s="10">
        <f>IF(COUNT($L77:$P77)=0,"",SUM($L77:$P77))</f>
        <v/>
      </c>
      <c r="R77" s="14">
        <f>IF(OR($J77="",N($Q77)=0),"",$J77*1000/$Q77)</f>
        <v/>
      </c>
      <c r="S77" s="8" t="n"/>
      <c r="T77" s="8" t="n"/>
      <c r="U77" s="8" t="n"/>
      <c r="V77" s="15">
        <f>IF(N($Q77)=0,"",MAX(0,($Q77-$P77-SUM($S77:$U77)))/$Q77)</f>
        <v/>
      </c>
      <c r="W77" s="8" t="n"/>
      <c r="X77" s="8" t="n"/>
      <c r="Y77" s="8" t="n"/>
      <c r="Z77" s="8" t="n"/>
    </row>
    <row r="78">
      <c r="A78" s="8" t="n"/>
      <c r="B78" s="9" t="n"/>
      <c r="C78" s="8" t="n"/>
      <c r="D78" s="10">
        <f>IF($C78="","",IFERROR(INDEX(畝マスター!$B$2:$B$21,MATCH($C78,畝マスター!$A$2:$A$21,0)),""))</f>
        <v/>
      </c>
      <c r="E78" s="11">
        <f>IF($C78="","",IFERROR(INDEX(畝マスター!$E$2:$E$21,MATCH($C78,畝マスター!$A$2:$A$21,0)),""))</f>
        <v/>
      </c>
      <c r="F78" s="10">
        <f>IF(OR($B78="",$E78=""),"",$B78-$E78)</f>
        <v/>
      </c>
      <c r="G78" s="8" t="n"/>
      <c r="H78" s="8" t="n"/>
      <c r="I78" s="8" t="n"/>
      <c r="J78" s="12" t="n"/>
      <c r="K78" s="13">
        <f>IF(OR($J78="",N($G78)=0),"",$J78/$G78)</f>
        <v/>
      </c>
      <c r="L78" s="8" t="n"/>
      <c r="M78" s="8" t="n"/>
      <c r="N78" s="8" t="n"/>
      <c r="O78" s="8" t="n"/>
      <c r="P78" s="8" t="n"/>
      <c r="Q78" s="10">
        <f>IF(COUNT($L78:$P78)=0,"",SUM($L78:$P78))</f>
        <v/>
      </c>
      <c r="R78" s="14">
        <f>IF(OR($J78="",N($Q78)=0),"",$J78*1000/$Q78)</f>
        <v/>
      </c>
      <c r="S78" s="8" t="n"/>
      <c r="T78" s="8" t="n"/>
      <c r="U78" s="8" t="n"/>
      <c r="V78" s="15">
        <f>IF(N($Q78)=0,"",MAX(0,($Q78-$P78-SUM($S78:$U78)))/$Q78)</f>
        <v/>
      </c>
      <c r="W78" s="8" t="n"/>
      <c r="X78" s="8" t="n"/>
      <c r="Y78" s="8" t="n"/>
      <c r="Z78" s="8" t="n"/>
    </row>
    <row r="79">
      <c r="A79" s="8" t="n"/>
      <c r="B79" s="9" t="n"/>
      <c r="C79" s="8" t="n"/>
      <c r="D79" s="10">
        <f>IF($C79="","",IFERROR(INDEX(畝マスター!$B$2:$B$21,MATCH($C79,畝マスター!$A$2:$A$21,0)),""))</f>
        <v/>
      </c>
      <c r="E79" s="11">
        <f>IF($C79="","",IFERROR(INDEX(畝マスター!$E$2:$E$21,MATCH($C79,畝マスター!$A$2:$A$21,0)),""))</f>
        <v/>
      </c>
      <c r="F79" s="10">
        <f>IF(OR($B79="",$E79=""),"",$B79-$E79)</f>
        <v/>
      </c>
      <c r="G79" s="8" t="n"/>
      <c r="H79" s="8" t="n"/>
      <c r="I79" s="8" t="n"/>
      <c r="J79" s="12" t="n"/>
      <c r="K79" s="13">
        <f>IF(OR($J79="",N($G79)=0),"",$J79/$G79)</f>
        <v/>
      </c>
      <c r="L79" s="8" t="n"/>
      <c r="M79" s="8" t="n"/>
      <c r="N79" s="8" t="n"/>
      <c r="O79" s="8" t="n"/>
      <c r="P79" s="8" t="n"/>
      <c r="Q79" s="10">
        <f>IF(COUNT($L79:$P79)=0,"",SUM($L79:$P79))</f>
        <v/>
      </c>
      <c r="R79" s="14">
        <f>IF(OR($J79="",N($Q79)=0),"",$J79*1000/$Q79)</f>
        <v/>
      </c>
      <c r="S79" s="8" t="n"/>
      <c r="T79" s="8" t="n"/>
      <c r="U79" s="8" t="n"/>
      <c r="V79" s="15">
        <f>IF(N($Q79)=0,"",MAX(0,($Q79-$P79-SUM($S79:$U79)))/$Q79)</f>
        <v/>
      </c>
      <c r="W79" s="8" t="n"/>
      <c r="X79" s="8" t="n"/>
      <c r="Y79" s="8" t="n"/>
      <c r="Z79" s="8" t="n"/>
    </row>
    <row r="80">
      <c r="A80" s="8" t="n"/>
      <c r="B80" s="9" t="n"/>
      <c r="C80" s="8" t="n"/>
      <c r="D80" s="10">
        <f>IF($C80="","",IFERROR(INDEX(畝マスター!$B$2:$B$21,MATCH($C80,畝マスター!$A$2:$A$21,0)),""))</f>
        <v/>
      </c>
      <c r="E80" s="11">
        <f>IF($C80="","",IFERROR(INDEX(畝マスター!$E$2:$E$21,MATCH($C80,畝マスター!$A$2:$A$21,0)),""))</f>
        <v/>
      </c>
      <c r="F80" s="10">
        <f>IF(OR($B80="",$E80=""),"",$B80-$E80)</f>
        <v/>
      </c>
      <c r="G80" s="8" t="n"/>
      <c r="H80" s="8" t="n"/>
      <c r="I80" s="8" t="n"/>
      <c r="J80" s="12" t="n"/>
      <c r="K80" s="13">
        <f>IF(OR($J80="",N($G80)=0),"",$J80/$G80)</f>
        <v/>
      </c>
      <c r="L80" s="8" t="n"/>
      <c r="M80" s="8" t="n"/>
      <c r="N80" s="8" t="n"/>
      <c r="O80" s="8" t="n"/>
      <c r="P80" s="8" t="n"/>
      <c r="Q80" s="10">
        <f>IF(COUNT($L80:$P80)=0,"",SUM($L80:$P80))</f>
        <v/>
      </c>
      <c r="R80" s="14">
        <f>IF(OR($J80="",N($Q80)=0),"",$J80*1000/$Q80)</f>
        <v/>
      </c>
      <c r="S80" s="8" t="n"/>
      <c r="T80" s="8" t="n"/>
      <c r="U80" s="8" t="n"/>
      <c r="V80" s="15">
        <f>IF(N($Q80)=0,"",MAX(0,($Q80-$P80-SUM($S80:$U80)))/$Q80)</f>
        <v/>
      </c>
      <c r="W80" s="8" t="n"/>
      <c r="X80" s="8" t="n"/>
      <c r="Y80" s="8" t="n"/>
      <c r="Z80" s="8" t="n"/>
    </row>
    <row r="81">
      <c r="A81" s="8" t="n"/>
      <c r="B81" s="9" t="n"/>
      <c r="C81" s="8" t="n"/>
      <c r="D81" s="10">
        <f>IF($C81="","",IFERROR(INDEX(畝マスター!$B$2:$B$21,MATCH($C81,畝マスター!$A$2:$A$21,0)),""))</f>
        <v/>
      </c>
      <c r="E81" s="11">
        <f>IF($C81="","",IFERROR(INDEX(畝マスター!$E$2:$E$21,MATCH($C81,畝マスター!$A$2:$A$21,0)),""))</f>
        <v/>
      </c>
      <c r="F81" s="10">
        <f>IF(OR($B81="",$E81=""),"",$B81-$E81)</f>
        <v/>
      </c>
      <c r="G81" s="8" t="n"/>
      <c r="H81" s="8" t="n"/>
      <c r="I81" s="8" t="n"/>
      <c r="J81" s="12" t="n"/>
      <c r="K81" s="13">
        <f>IF(OR($J81="",N($G81)=0),"",$J81/$G81)</f>
        <v/>
      </c>
      <c r="L81" s="8" t="n"/>
      <c r="M81" s="8" t="n"/>
      <c r="N81" s="8" t="n"/>
      <c r="O81" s="8" t="n"/>
      <c r="P81" s="8" t="n"/>
      <c r="Q81" s="10">
        <f>IF(COUNT($L81:$P81)=0,"",SUM($L81:$P81))</f>
        <v/>
      </c>
      <c r="R81" s="14">
        <f>IF(OR($J81="",N($Q81)=0),"",$J81*1000/$Q81)</f>
        <v/>
      </c>
      <c r="S81" s="8" t="n"/>
      <c r="T81" s="8" t="n"/>
      <c r="U81" s="8" t="n"/>
      <c r="V81" s="15">
        <f>IF(N($Q81)=0,"",MAX(0,($Q81-$P81-SUM($S81:$U81)))/$Q81)</f>
        <v/>
      </c>
      <c r="W81" s="8" t="n"/>
      <c r="X81" s="8" t="n"/>
      <c r="Y81" s="8" t="n"/>
      <c r="Z81" s="8" t="n"/>
    </row>
    <row r="82">
      <c r="A82" s="8" t="n"/>
      <c r="B82" s="9" t="n"/>
      <c r="C82" s="8" t="n"/>
      <c r="D82" s="10">
        <f>IF($C82="","",IFERROR(INDEX(畝マスター!$B$2:$B$21,MATCH($C82,畝マスター!$A$2:$A$21,0)),""))</f>
        <v/>
      </c>
      <c r="E82" s="11">
        <f>IF($C82="","",IFERROR(INDEX(畝マスター!$E$2:$E$21,MATCH($C82,畝マスター!$A$2:$A$21,0)),""))</f>
        <v/>
      </c>
      <c r="F82" s="10">
        <f>IF(OR($B82="",$E82=""),"",$B82-$E82)</f>
        <v/>
      </c>
      <c r="G82" s="8" t="n"/>
      <c r="H82" s="8" t="n"/>
      <c r="I82" s="8" t="n"/>
      <c r="J82" s="12" t="n"/>
      <c r="K82" s="13">
        <f>IF(OR($J82="",N($G82)=0),"",$J82/$G82)</f>
        <v/>
      </c>
      <c r="L82" s="8" t="n"/>
      <c r="M82" s="8" t="n"/>
      <c r="N82" s="8" t="n"/>
      <c r="O82" s="8" t="n"/>
      <c r="P82" s="8" t="n"/>
      <c r="Q82" s="10">
        <f>IF(COUNT($L82:$P82)=0,"",SUM($L82:$P82))</f>
        <v/>
      </c>
      <c r="R82" s="14">
        <f>IF(OR($J82="",N($Q82)=0),"",$J82*1000/$Q82)</f>
        <v/>
      </c>
      <c r="S82" s="8" t="n"/>
      <c r="T82" s="8" t="n"/>
      <c r="U82" s="8" t="n"/>
      <c r="V82" s="15">
        <f>IF(N($Q82)=0,"",MAX(0,($Q82-$P82-SUM($S82:$U82)))/$Q82)</f>
        <v/>
      </c>
      <c r="W82" s="8" t="n"/>
      <c r="X82" s="8" t="n"/>
      <c r="Y82" s="8" t="n"/>
      <c r="Z82" s="8" t="n"/>
    </row>
    <row r="83">
      <c r="A83" s="8" t="n"/>
      <c r="B83" s="9" t="n"/>
      <c r="C83" s="8" t="n"/>
      <c r="D83" s="10">
        <f>IF($C83="","",IFERROR(INDEX(畝マスター!$B$2:$B$21,MATCH($C83,畝マスター!$A$2:$A$21,0)),""))</f>
        <v/>
      </c>
      <c r="E83" s="11">
        <f>IF($C83="","",IFERROR(INDEX(畝マスター!$E$2:$E$21,MATCH($C83,畝マスター!$A$2:$A$21,0)),""))</f>
        <v/>
      </c>
      <c r="F83" s="10">
        <f>IF(OR($B83="",$E83=""),"",$B83-$E83)</f>
        <v/>
      </c>
      <c r="G83" s="8" t="n"/>
      <c r="H83" s="8" t="n"/>
      <c r="I83" s="8" t="n"/>
      <c r="J83" s="12" t="n"/>
      <c r="K83" s="13">
        <f>IF(OR($J83="",N($G83)=0),"",$J83/$G83)</f>
        <v/>
      </c>
      <c r="L83" s="8" t="n"/>
      <c r="M83" s="8" t="n"/>
      <c r="N83" s="8" t="n"/>
      <c r="O83" s="8" t="n"/>
      <c r="P83" s="8" t="n"/>
      <c r="Q83" s="10">
        <f>IF(COUNT($L83:$P83)=0,"",SUM($L83:$P83))</f>
        <v/>
      </c>
      <c r="R83" s="14">
        <f>IF(OR($J83="",N($Q83)=0),"",$J83*1000/$Q83)</f>
        <v/>
      </c>
      <c r="S83" s="8" t="n"/>
      <c r="T83" s="8" t="n"/>
      <c r="U83" s="8" t="n"/>
      <c r="V83" s="15">
        <f>IF(N($Q83)=0,"",MAX(0,($Q83-$P83-SUM($S83:$U83)))/$Q83)</f>
        <v/>
      </c>
      <c r="W83" s="8" t="n"/>
      <c r="X83" s="8" t="n"/>
      <c r="Y83" s="8" t="n"/>
      <c r="Z83" s="8" t="n"/>
    </row>
    <row r="84">
      <c r="A84" s="8" t="n"/>
      <c r="B84" s="9" t="n"/>
      <c r="C84" s="8" t="n"/>
      <c r="D84" s="10">
        <f>IF($C84="","",IFERROR(INDEX(畝マスター!$B$2:$B$21,MATCH($C84,畝マスター!$A$2:$A$21,0)),""))</f>
        <v/>
      </c>
      <c r="E84" s="11">
        <f>IF($C84="","",IFERROR(INDEX(畝マスター!$E$2:$E$21,MATCH($C84,畝マスター!$A$2:$A$21,0)),""))</f>
        <v/>
      </c>
      <c r="F84" s="10">
        <f>IF(OR($B84="",$E84=""),"",$B84-$E84)</f>
        <v/>
      </c>
      <c r="G84" s="8" t="n"/>
      <c r="H84" s="8" t="n"/>
      <c r="I84" s="8" t="n"/>
      <c r="J84" s="12" t="n"/>
      <c r="K84" s="13">
        <f>IF(OR($J84="",N($G84)=0),"",$J84/$G84)</f>
        <v/>
      </c>
      <c r="L84" s="8" t="n"/>
      <c r="M84" s="8" t="n"/>
      <c r="N84" s="8" t="n"/>
      <c r="O84" s="8" t="n"/>
      <c r="P84" s="8" t="n"/>
      <c r="Q84" s="10">
        <f>IF(COUNT($L84:$P84)=0,"",SUM($L84:$P84))</f>
        <v/>
      </c>
      <c r="R84" s="14">
        <f>IF(OR($J84="",N($Q84)=0),"",$J84*1000/$Q84)</f>
        <v/>
      </c>
      <c r="S84" s="8" t="n"/>
      <c r="T84" s="8" t="n"/>
      <c r="U84" s="8" t="n"/>
      <c r="V84" s="15">
        <f>IF(N($Q84)=0,"",MAX(0,($Q84-$P84-SUM($S84:$U84)))/$Q84)</f>
        <v/>
      </c>
      <c r="W84" s="8" t="n"/>
      <c r="X84" s="8" t="n"/>
      <c r="Y84" s="8" t="n"/>
      <c r="Z84" s="8" t="n"/>
    </row>
    <row r="85">
      <c r="A85" s="8" t="n"/>
      <c r="B85" s="9" t="n"/>
      <c r="C85" s="8" t="n"/>
      <c r="D85" s="10">
        <f>IF($C85="","",IFERROR(INDEX(畝マスター!$B$2:$B$21,MATCH($C85,畝マスター!$A$2:$A$21,0)),""))</f>
        <v/>
      </c>
      <c r="E85" s="11">
        <f>IF($C85="","",IFERROR(INDEX(畝マスター!$E$2:$E$21,MATCH($C85,畝マスター!$A$2:$A$21,0)),""))</f>
        <v/>
      </c>
      <c r="F85" s="10">
        <f>IF(OR($B85="",$E85=""),"",$B85-$E85)</f>
        <v/>
      </c>
      <c r="G85" s="8" t="n"/>
      <c r="H85" s="8" t="n"/>
      <c r="I85" s="8" t="n"/>
      <c r="J85" s="12" t="n"/>
      <c r="K85" s="13">
        <f>IF(OR($J85="",N($G85)=0),"",$J85/$G85)</f>
        <v/>
      </c>
      <c r="L85" s="8" t="n"/>
      <c r="M85" s="8" t="n"/>
      <c r="N85" s="8" t="n"/>
      <c r="O85" s="8" t="n"/>
      <c r="P85" s="8" t="n"/>
      <c r="Q85" s="10">
        <f>IF(COUNT($L85:$P85)=0,"",SUM($L85:$P85))</f>
        <v/>
      </c>
      <c r="R85" s="14">
        <f>IF(OR($J85="",N($Q85)=0),"",$J85*1000/$Q85)</f>
        <v/>
      </c>
      <c r="S85" s="8" t="n"/>
      <c r="T85" s="8" t="n"/>
      <c r="U85" s="8" t="n"/>
      <c r="V85" s="15">
        <f>IF(N($Q85)=0,"",MAX(0,($Q85-$P85-SUM($S85:$U85)))/$Q85)</f>
        <v/>
      </c>
      <c r="W85" s="8" t="n"/>
      <c r="X85" s="8" t="n"/>
      <c r="Y85" s="8" t="n"/>
      <c r="Z85" s="8" t="n"/>
    </row>
    <row r="86">
      <c r="A86" s="8" t="n"/>
      <c r="B86" s="9" t="n"/>
      <c r="C86" s="8" t="n"/>
      <c r="D86" s="10">
        <f>IF($C86="","",IFERROR(INDEX(畝マスター!$B$2:$B$21,MATCH($C86,畝マスター!$A$2:$A$21,0)),""))</f>
        <v/>
      </c>
      <c r="E86" s="11">
        <f>IF($C86="","",IFERROR(INDEX(畝マスター!$E$2:$E$21,MATCH($C86,畝マスター!$A$2:$A$21,0)),""))</f>
        <v/>
      </c>
      <c r="F86" s="10">
        <f>IF(OR($B86="",$E86=""),"",$B86-$E86)</f>
        <v/>
      </c>
      <c r="G86" s="8" t="n"/>
      <c r="H86" s="8" t="n"/>
      <c r="I86" s="8" t="n"/>
      <c r="J86" s="12" t="n"/>
      <c r="K86" s="13">
        <f>IF(OR($J86="",N($G86)=0),"",$J86/$G86)</f>
        <v/>
      </c>
      <c r="L86" s="8" t="n"/>
      <c r="M86" s="8" t="n"/>
      <c r="N86" s="8" t="n"/>
      <c r="O86" s="8" t="n"/>
      <c r="P86" s="8" t="n"/>
      <c r="Q86" s="10">
        <f>IF(COUNT($L86:$P86)=0,"",SUM($L86:$P86))</f>
        <v/>
      </c>
      <c r="R86" s="14">
        <f>IF(OR($J86="",N($Q86)=0),"",$J86*1000/$Q86)</f>
        <v/>
      </c>
      <c r="S86" s="8" t="n"/>
      <c r="T86" s="8" t="n"/>
      <c r="U86" s="8" t="n"/>
      <c r="V86" s="15">
        <f>IF(N($Q86)=0,"",MAX(0,($Q86-$P86-SUM($S86:$U86)))/$Q86)</f>
        <v/>
      </c>
      <c r="W86" s="8" t="n"/>
      <c r="X86" s="8" t="n"/>
      <c r="Y86" s="8" t="n"/>
      <c r="Z86" s="8" t="n"/>
    </row>
    <row r="87">
      <c r="A87" s="8" t="n"/>
      <c r="B87" s="9" t="n"/>
      <c r="C87" s="8" t="n"/>
      <c r="D87" s="10">
        <f>IF($C87="","",IFERROR(INDEX(畝マスター!$B$2:$B$21,MATCH($C87,畝マスター!$A$2:$A$21,0)),""))</f>
        <v/>
      </c>
      <c r="E87" s="11">
        <f>IF($C87="","",IFERROR(INDEX(畝マスター!$E$2:$E$21,MATCH($C87,畝マスター!$A$2:$A$21,0)),""))</f>
        <v/>
      </c>
      <c r="F87" s="10">
        <f>IF(OR($B87="",$E87=""),"",$B87-$E87)</f>
        <v/>
      </c>
      <c r="G87" s="8" t="n"/>
      <c r="H87" s="8" t="n"/>
      <c r="I87" s="8" t="n"/>
      <c r="J87" s="12" t="n"/>
      <c r="K87" s="13">
        <f>IF(OR($J87="",N($G87)=0),"",$J87/$G87)</f>
        <v/>
      </c>
      <c r="L87" s="8" t="n"/>
      <c r="M87" s="8" t="n"/>
      <c r="N87" s="8" t="n"/>
      <c r="O87" s="8" t="n"/>
      <c r="P87" s="8" t="n"/>
      <c r="Q87" s="10">
        <f>IF(COUNT($L87:$P87)=0,"",SUM($L87:$P87))</f>
        <v/>
      </c>
      <c r="R87" s="14">
        <f>IF(OR($J87="",N($Q87)=0),"",$J87*1000/$Q87)</f>
        <v/>
      </c>
      <c r="S87" s="8" t="n"/>
      <c r="T87" s="8" t="n"/>
      <c r="U87" s="8" t="n"/>
      <c r="V87" s="15">
        <f>IF(N($Q87)=0,"",MAX(0,($Q87-$P87-SUM($S87:$U87)))/$Q87)</f>
        <v/>
      </c>
      <c r="W87" s="8" t="n"/>
      <c r="X87" s="8" t="n"/>
      <c r="Y87" s="8" t="n"/>
      <c r="Z87" s="8" t="n"/>
    </row>
    <row r="88">
      <c r="A88" s="8" t="n"/>
      <c r="B88" s="9" t="n"/>
      <c r="C88" s="8" t="n"/>
      <c r="D88" s="10">
        <f>IF($C88="","",IFERROR(INDEX(畝マスター!$B$2:$B$21,MATCH($C88,畝マスター!$A$2:$A$21,0)),""))</f>
        <v/>
      </c>
      <c r="E88" s="11">
        <f>IF($C88="","",IFERROR(INDEX(畝マスター!$E$2:$E$21,MATCH($C88,畝マスター!$A$2:$A$21,0)),""))</f>
        <v/>
      </c>
      <c r="F88" s="10">
        <f>IF(OR($B88="",$E88=""),"",$B88-$E88)</f>
        <v/>
      </c>
      <c r="G88" s="8" t="n"/>
      <c r="H88" s="8" t="n"/>
      <c r="I88" s="8" t="n"/>
      <c r="J88" s="12" t="n"/>
      <c r="K88" s="13">
        <f>IF(OR($J88="",N($G88)=0),"",$J88/$G88)</f>
        <v/>
      </c>
      <c r="L88" s="8" t="n"/>
      <c r="M88" s="8" t="n"/>
      <c r="N88" s="8" t="n"/>
      <c r="O88" s="8" t="n"/>
      <c r="P88" s="8" t="n"/>
      <c r="Q88" s="10">
        <f>IF(COUNT($L88:$P88)=0,"",SUM($L88:$P88))</f>
        <v/>
      </c>
      <c r="R88" s="14">
        <f>IF(OR($J88="",N($Q88)=0),"",$J88*1000/$Q88)</f>
        <v/>
      </c>
      <c r="S88" s="8" t="n"/>
      <c r="T88" s="8" t="n"/>
      <c r="U88" s="8" t="n"/>
      <c r="V88" s="15">
        <f>IF(N($Q88)=0,"",MAX(0,($Q88-$P88-SUM($S88:$U88)))/$Q88)</f>
        <v/>
      </c>
      <c r="W88" s="8" t="n"/>
      <c r="X88" s="8" t="n"/>
      <c r="Y88" s="8" t="n"/>
      <c r="Z88" s="8" t="n"/>
    </row>
    <row r="89">
      <c r="A89" s="8" t="n"/>
      <c r="B89" s="9" t="n"/>
      <c r="C89" s="8" t="n"/>
      <c r="D89" s="10">
        <f>IF($C89="","",IFERROR(INDEX(畝マスター!$B$2:$B$21,MATCH($C89,畝マスター!$A$2:$A$21,0)),""))</f>
        <v/>
      </c>
      <c r="E89" s="11">
        <f>IF($C89="","",IFERROR(INDEX(畝マスター!$E$2:$E$21,MATCH($C89,畝マスター!$A$2:$A$21,0)),""))</f>
        <v/>
      </c>
      <c r="F89" s="10">
        <f>IF(OR($B89="",$E89=""),"",$B89-$E89)</f>
        <v/>
      </c>
      <c r="G89" s="8" t="n"/>
      <c r="H89" s="8" t="n"/>
      <c r="I89" s="8" t="n"/>
      <c r="J89" s="12" t="n"/>
      <c r="K89" s="13">
        <f>IF(OR($J89="",N($G89)=0),"",$J89/$G89)</f>
        <v/>
      </c>
      <c r="L89" s="8" t="n"/>
      <c r="M89" s="8" t="n"/>
      <c r="N89" s="8" t="n"/>
      <c r="O89" s="8" t="n"/>
      <c r="P89" s="8" t="n"/>
      <c r="Q89" s="10">
        <f>IF(COUNT($L89:$P89)=0,"",SUM($L89:$P89))</f>
        <v/>
      </c>
      <c r="R89" s="14">
        <f>IF(OR($J89="",N($Q89)=0),"",$J89*1000/$Q89)</f>
        <v/>
      </c>
      <c r="S89" s="8" t="n"/>
      <c r="T89" s="8" t="n"/>
      <c r="U89" s="8" t="n"/>
      <c r="V89" s="15">
        <f>IF(N($Q89)=0,"",MAX(0,($Q89-$P89-SUM($S89:$U89)))/$Q89)</f>
        <v/>
      </c>
      <c r="W89" s="8" t="n"/>
      <c r="X89" s="8" t="n"/>
      <c r="Y89" s="8" t="n"/>
      <c r="Z89" s="8" t="n"/>
    </row>
    <row r="90">
      <c r="A90" s="8" t="n"/>
      <c r="B90" s="9" t="n"/>
      <c r="C90" s="8" t="n"/>
      <c r="D90" s="10">
        <f>IF($C90="","",IFERROR(INDEX(畝マスター!$B$2:$B$21,MATCH($C90,畝マスター!$A$2:$A$21,0)),""))</f>
        <v/>
      </c>
      <c r="E90" s="11">
        <f>IF($C90="","",IFERROR(INDEX(畝マスター!$E$2:$E$21,MATCH($C90,畝マスター!$A$2:$A$21,0)),""))</f>
        <v/>
      </c>
      <c r="F90" s="10">
        <f>IF(OR($B90="",$E90=""),"",$B90-$E90)</f>
        <v/>
      </c>
      <c r="G90" s="8" t="n"/>
      <c r="H90" s="8" t="n"/>
      <c r="I90" s="8" t="n"/>
      <c r="J90" s="12" t="n"/>
      <c r="K90" s="13">
        <f>IF(OR($J90="",N($G90)=0),"",$J90/$G90)</f>
        <v/>
      </c>
      <c r="L90" s="8" t="n"/>
      <c r="M90" s="8" t="n"/>
      <c r="N90" s="8" t="n"/>
      <c r="O90" s="8" t="n"/>
      <c r="P90" s="8" t="n"/>
      <c r="Q90" s="10">
        <f>IF(COUNT($L90:$P90)=0,"",SUM($L90:$P90))</f>
        <v/>
      </c>
      <c r="R90" s="14">
        <f>IF(OR($J90="",N($Q90)=0),"",$J90*1000/$Q90)</f>
        <v/>
      </c>
      <c r="S90" s="8" t="n"/>
      <c r="T90" s="8" t="n"/>
      <c r="U90" s="8" t="n"/>
      <c r="V90" s="15">
        <f>IF(N($Q90)=0,"",MAX(0,($Q90-$P90-SUM($S90:$U90)))/$Q90)</f>
        <v/>
      </c>
      <c r="W90" s="8" t="n"/>
      <c r="X90" s="8" t="n"/>
      <c r="Y90" s="8" t="n"/>
      <c r="Z90" s="8" t="n"/>
    </row>
    <row r="91">
      <c r="A91" s="8" t="n"/>
      <c r="B91" s="9" t="n"/>
      <c r="C91" s="8" t="n"/>
      <c r="D91" s="10">
        <f>IF($C91="","",IFERROR(INDEX(畝マスター!$B$2:$B$21,MATCH($C91,畝マスター!$A$2:$A$21,0)),""))</f>
        <v/>
      </c>
      <c r="E91" s="11">
        <f>IF($C91="","",IFERROR(INDEX(畝マスター!$E$2:$E$21,MATCH($C91,畝マスター!$A$2:$A$21,0)),""))</f>
        <v/>
      </c>
      <c r="F91" s="10">
        <f>IF(OR($B91="",$E91=""),"",$B91-$E91)</f>
        <v/>
      </c>
      <c r="G91" s="8" t="n"/>
      <c r="H91" s="8" t="n"/>
      <c r="I91" s="8" t="n"/>
      <c r="J91" s="12" t="n"/>
      <c r="K91" s="13">
        <f>IF(OR($J91="",N($G91)=0),"",$J91/$G91)</f>
        <v/>
      </c>
      <c r="L91" s="8" t="n"/>
      <c r="M91" s="8" t="n"/>
      <c r="N91" s="8" t="n"/>
      <c r="O91" s="8" t="n"/>
      <c r="P91" s="8" t="n"/>
      <c r="Q91" s="10">
        <f>IF(COUNT($L91:$P91)=0,"",SUM($L91:$P91))</f>
        <v/>
      </c>
      <c r="R91" s="14">
        <f>IF(OR($J91="",N($Q91)=0),"",$J91*1000/$Q91)</f>
        <v/>
      </c>
      <c r="S91" s="8" t="n"/>
      <c r="T91" s="8" t="n"/>
      <c r="U91" s="8" t="n"/>
      <c r="V91" s="15">
        <f>IF(N($Q91)=0,"",MAX(0,($Q91-$P91-SUM($S91:$U91)))/$Q91)</f>
        <v/>
      </c>
      <c r="W91" s="8" t="n"/>
      <c r="X91" s="8" t="n"/>
      <c r="Y91" s="8" t="n"/>
      <c r="Z91" s="8" t="n"/>
    </row>
    <row r="92">
      <c r="A92" s="8" t="n"/>
      <c r="B92" s="9" t="n"/>
      <c r="C92" s="8" t="n"/>
      <c r="D92" s="10">
        <f>IF($C92="","",IFERROR(INDEX(畝マスター!$B$2:$B$21,MATCH($C92,畝マスター!$A$2:$A$21,0)),""))</f>
        <v/>
      </c>
      <c r="E92" s="11">
        <f>IF($C92="","",IFERROR(INDEX(畝マスター!$E$2:$E$21,MATCH($C92,畝マスター!$A$2:$A$21,0)),""))</f>
        <v/>
      </c>
      <c r="F92" s="10">
        <f>IF(OR($B92="",$E92=""),"",$B92-$E92)</f>
        <v/>
      </c>
      <c r="G92" s="8" t="n"/>
      <c r="H92" s="8" t="n"/>
      <c r="I92" s="8" t="n"/>
      <c r="J92" s="12" t="n"/>
      <c r="K92" s="13">
        <f>IF(OR($J92="",N($G92)=0),"",$J92/$G92)</f>
        <v/>
      </c>
      <c r="L92" s="8" t="n"/>
      <c r="M92" s="8" t="n"/>
      <c r="N92" s="8" t="n"/>
      <c r="O92" s="8" t="n"/>
      <c r="P92" s="8" t="n"/>
      <c r="Q92" s="10">
        <f>IF(COUNT($L92:$P92)=0,"",SUM($L92:$P92))</f>
        <v/>
      </c>
      <c r="R92" s="14">
        <f>IF(OR($J92="",N($Q92)=0),"",$J92*1000/$Q92)</f>
        <v/>
      </c>
      <c r="S92" s="8" t="n"/>
      <c r="T92" s="8" t="n"/>
      <c r="U92" s="8" t="n"/>
      <c r="V92" s="15">
        <f>IF(N($Q92)=0,"",MAX(0,($Q92-$P92-SUM($S92:$U92)))/$Q92)</f>
        <v/>
      </c>
      <c r="W92" s="8" t="n"/>
      <c r="X92" s="8" t="n"/>
      <c r="Y92" s="8" t="n"/>
      <c r="Z92" s="8" t="n"/>
    </row>
    <row r="93">
      <c r="A93" s="8" t="n"/>
      <c r="B93" s="9" t="n"/>
      <c r="C93" s="8" t="n"/>
      <c r="D93" s="10">
        <f>IF($C93="","",IFERROR(INDEX(畝マスター!$B$2:$B$21,MATCH($C93,畝マスター!$A$2:$A$21,0)),""))</f>
        <v/>
      </c>
      <c r="E93" s="11">
        <f>IF($C93="","",IFERROR(INDEX(畝マスター!$E$2:$E$21,MATCH($C93,畝マスター!$A$2:$A$21,0)),""))</f>
        <v/>
      </c>
      <c r="F93" s="10">
        <f>IF(OR($B93="",$E93=""),"",$B93-$E93)</f>
        <v/>
      </c>
      <c r="G93" s="8" t="n"/>
      <c r="H93" s="8" t="n"/>
      <c r="I93" s="8" t="n"/>
      <c r="J93" s="12" t="n"/>
      <c r="K93" s="13">
        <f>IF(OR($J93="",N($G93)=0),"",$J93/$G93)</f>
        <v/>
      </c>
      <c r="L93" s="8" t="n"/>
      <c r="M93" s="8" t="n"/>
      <c r="N93" s="8" t="n"/>
      <c r="O93" s="8" t="n"/>
      <c r="P93" s="8" t="n"/>
      <c r="Q93" s="10">
        <f>IF(COUNT($L93:$P93)=0,"",SUM($L93:$P93))</f>
        <v/>
      </c>
      <c r="R93" s="14">
        <f>IF(OR($J93="",N($Q93)=0),"",$J93*1000/$Q93)</f>
        <v/>
      </c>
      <c r="S93" s="8" t="n"/>
      <c r="T93" s="8" t="n"/>
      <c r="U93" s="8" t="n"/>
      <c r="V93" s="15">
        <f>IF(N($Q93)=0,"",MAX(0,($Q93-$P93-SUM($S93:$U93)))/$Q93)</f>
        <v/>
      </c>
      <c r="W93" s="8" t="n"/>
      <c r="X93" s="8" t="n"/>
      <c r="Y93" s="8" t="n"/>
      <c r="Z93" s="8" t="n"/>
    </row>
    <row r="94">
      <c r="A94" s="8" t="n"/>
      <c r="B94" s="9" t="n"/>
      <c r="C94" s="8" t="n"/>
      <c r="D94" s="10">
        <f>IF($C94="","",IFERROR(INDEX(畝マスター!$B$2:$B$21,MATCH($C94,畝マスター!$A$2:$A$21,0)),""))</f>
        <v/>
      </c>
      <c r="E94" s="11">
        <f>IF($C94="","",IFERROR(INDEX(畝マスター!$E$2:$E$21,MATCH($C94,畝マスター!$A$2:$A$21,0)),""))</f>
        <v/>
      </c>
      <c r="F94" s="10">
        <f>IF(OR($B94="",$E94=""),"",$B94-$E94)</f>
        <v/>
      </c>
      <c r="G94" s="8" t="n"/>
      <c r="H94" s="8" t="n"/>
      <c r="I94" s="8" t="n"/>
      <c r="J94" s="12" t="n"/>
      <c r="K94" s="13">
        <f>IF(OR($J94="",N($G94)=0),"",$J94/$G94)</f>
        <v/>
      </c>
      <c r="L94" s="8" t="n"/>
      <c r="M94" s="8" t="n"/>
      <c r="N94" s="8" t="n"/>
      <c r="O94" s="8" t="n"/>
      <c r="P94" s="8" t="n"/>
      <c r="Q94" s="10">
        <f>IF(COUNT($L94:$P94)=0,"",SUM($L94:$P94))</f>
        <v/>
      </c>
      <c r="R94" s="14">
        <f>IF(OR($J94="",N($Q94)=0),"",$J94*1000/$Q94)</f>
        <v/>
      </c>
      <c r="S94" s="8" t="n"/>
      <c r="T94" s="8" t="n"/>
      <c r="U94" s="8" t="n"/>
      <c r="V94" s="15">
        <f>IF(N($Q94)=0,"",MAX(0,($Q94-$P94-SUM($S94:$U94)))/$Q94)</f>
        <v/>
      </c>
      <c r="W94" s="8" t="n"/>
      <c r="X94" s="8" t="n"/>
      <c r="Y94" s="8" t="n"/>
      <c r="Z94" s="8" t="n"/>
    </row>
    <row r="95">
      <c r="A95" s="8" t="n"/>
      <c r="B95" s="9" t="n"/>
      <c r="C95" s="8" t="n"/>
      <c r="D95" s="10">
        <f>IF($C95="","",IFERROR(INDEX(畝マスター!$B$2:$B$21,MATCH($C95,畝マスター!$A$2:$A$21,0)),""))</f>
        <v/>
      </c>
      <c r="E95" s="11">
        <f>IF($C95="","",IFERROR(INDEX(畝マスター!$E$2:$E$21,MATCH($C95,畝マスター!$A$2:$A$21,0)),""))</f>
        <v/>
      </c>
      <c r="F95" s="10">
        <f>IF(OR($B95="",$E95=""),"",$B95-$E95)</f>
        <v/>
      </c>
      <c r="G95" s="8" t="n"/>
      <c r="H95" s="8" t="n"/>
      <c r="I95" s="8" t="n"/>
      <c r="J95" s="12" t="n"/>
      <c r="K95" s="13">
        <f>IF(OR($J95="",N($G95)=0),"",$J95/$G95)</f>
        <v/>
      </c>
      <c r="L95" s="8" t="n"/>
      <c r="M95" s="8" t="n"/>
      <c r="N95" s="8" t="n"/>
      <c r="O95" s="8" t="n"/>
      <c r="P95" s="8" t="n"/>
      <c r="Q95" s="10">
        <f>IF(COUNT($L95:$P95)=0,"",SUM($L95:$P95))</f>
        <v/>
      </c>
      <c r="R95" s="14">
        <f>IF(OR($J95="",N($Q95)=0),"",$J95*1000/$Q95)</f>
        <v/>
      </c>
      <c r="S95" s="8" t="n"/>
      <c r="T95" s="8" t="n"/>
      <c r="U95" s="8" t="n"/>
      <c r="V95" s="15">
        <f>IF(N($Q95)=0,"",MAX(0,($Q95-$P95-SUM($S95:$U95)))/$Q95)</f>
        <v/>
      </c>
      <c r="W95" s="8" t="n"/>
      <c r="X95" s="8" t="n"/>
      <c r="Y95" s="8" t="n"/>
      <c r="Z95" s="8" t="n"/>
    </row>
    <row r="96">
      <c r="A96" s="8" t="n"/>
      <c r="B96" s="9" t="n"/>
      <c r="C96" s="8" t="n"/>
      <c r="D96" s="10">
        <f>IF($C96="","",IFERROR(INDEX(畝マスター!$B$2:$B$21,MATCH($C96,畝マスター!$A$2:$A$21,0)),""))</f>
        <v/>
      </c>
      <c r="E96" s="11">
        <f>IF($C96="","",IFERROR(INDEX(畝マスター!$E$2:$E$21,MATCH($C96,畝マスター!$A$2:$A$21,0)),""))</f>
        <v/>
      </c>
      <c r="F96" s="10">
        <f>IF(OR($B96="",$E96=""),"",$B96-$E96)</f>
        <v/>
      </c>
      <c r="G96" s="8" t="n"/>
      <c r="H96" s="8" t="n"/>
      <c r="I96" s="8" t="n"/>
      <c r="J96" s="12" t="n"/>
      <c r="K96" s="13">
        <f>IF(OR($J96="",N($G96)=0),"",$J96/$G96)</f>
        <v/>
      </c>
      <c r="L96" s="8" t="n"/>
      <c r="M96" s="8" t="n"/>
      <c r="N96" s="8" t="n"/>
      <c r="O96" s="8" t="n"/>
      <c r="P96" s="8" t="n"/>
      <c r="Q96" s="10">
        <f>IF(COUNT($L96:$P96)=0,"",SUM($L96:$P96))</f>
        <v/>
      </c>
      <c r="R96" s="14">
        <f>IF(OR($J96="",N($Q96)=0),"",$J96*1000/$Q96)</f>
        <v/>
      </c>
      <c r="S96" s="8" t="n"/>
      <c r="T96" s="8" t="n"/>
      <c r="U96" s="8" t="n"/>
      <c r="V96" s="15">
        <f>IF(N($Q96)=0,"",MAX(0,($Q96-$P96-SUM($S96:$U96)))/$Q96)</f>
        <v/>
      </c>
      <c r="W96" s="8" t="n"/>
      <c r="X96" s="8" t="n"/>
      <c r="Y96" s="8" t="n"/>
      <c r="Z96" s="8" t="n"/>
    </row>
    <row r="97">
      <c r="A97" s="8" t="n"/>
      <c r="B97" s="9" t="n"/>
      <c r="C97" s="8" t="n"/>
      <c r="D97" s="10">
        <f>IF($C97="","",IFERROR(INDEX(畝マスター!$B$2:$B$21,MATCH($C97,畝マスター!$A$2:$A$21,0)),""))</f>
        <v/>
      </c>
      <c r="E97" s="11">
        <f>IF($C97="","",IFERROR(INDEX(畝マスター!$E$2:$E$21,MATCH($C97,畝マスター!$A$2:$A$21,0)),""))</f>
        <v/>
      </c>
      <c r="F97" s="10">
        <f>IF(OR($B97="",$E97=""),"",$B97-$E97)</f>
        <v/>
      </c>
      <c r="G97" s="8" t="n"/>
      <c r="H97" s="8" t="n"/>
      <c r="I97" s="8" t="n"/>
      <c r="J97" s="12" t="n"/>
      <c r="K97" s="13">
        <f>IF(OR($J97="",N($G97)=0),"",$J97/$G97)</f>
        <v/>
      </c>
      <c r="L97" s="8" t="n"/>
      <c r="M97" s="8" t="n"/>
      <c r="N97" s="8" t="n"/>
      <c r="O97" s="8" t="n"/>
      <c r="P97" s="8" t="n"/>
      <c r="Q97" s="10">
        <f>IF(COUNT($L97:$P97)=0,"",SUM($L97:$P97))</f>
        <v/>
      </c>
      <c r="R97" s="14">
        <f>IF(OR($J97="",N($Q97)=0),"",$J97*1000/$Q97)</f>
        <v/>
      </c>
      <c r="S97" s="8" t="n"/>
      <c r="T97" s="8" t="n"/>
      <c r="U97" s="8" t="n"/>
      <c r="V97" s="15">
        <f>IF(N($Q97)=0,"",MAX(0,($Q97-$P97-SUM($S97:$U97)))/$Q97)</f>
        <v/>
      </c>
      <c r="W97" s="8" t="n"/>
      <c r="X97" s="8" t="n"/>
      <c r="Y97" s="8" t="n"/>
      <c r="Z97" s="8" t="n"/>
    </row>
    <row r="98">
      <c r="A98" s="8" t="n"/>
      <c r="B98" s="9" t="n"/>
      <c r="C98" s="8" t="n"/>
      <c r="D98" s="10">
        <f>IF($C98="","",IFERROR(INDEX(畝マスター!$B$2:$B$21,MATCH($C98,畝マスター!$A$2:$A$21,0)),""))</f>
        <v/>
      </c>
      <c r="E98" s="11">
        <f>IF($C98="","",IFERROR(INDEX(畝マスター!$E$2:$E$21,MATCH($C98,畝マスター!$A$2:$A$21,0)),""))</f>
        <v/>
      </c>
      <c r="F98" s="10">
        <f>IF(OR($B98="",$E98=""),"",$B98-$E98)</f>
        <v/>
      </c>
      <c r="G98" s="8" t="n"/>
      <c r="H98" s="8" t="n"/>
      <c r="I98" s="8" t="n"/>
      <c r="J98" s="12" t="n"/>
      <c r="K98" s="13">
        <f>IF(OR($J98="",N($G98)=0),"",$J98/$G98)</f>
        <v/>
      </c>
      <c r="L98" s="8" t="n"/>
      <c r="M98" s="8" t="n"/>
      <c r="N98" s="8" t="n"/>
      <c r="O98" s="8" t="n"/>
      <c r="P98" s="8" t="n"/>
      <c r="Q98" s="10">
        <f>IF(COUNT($L98:$P98)=0,"",SUM($L98:$P98))</f>
        <v/>
      </c>
      <c r="R98" s="14">
        <f>IF(OR($J98="",N($Q98)=0),"",$J98*1000/$Q98)</f>
        <v/>
      </c>
      <c r="S98" s="8" t="n"/>
      <c r="T98" s="8" t="n"/>
      <c r="U98" s="8" t="n"/>
      <c r="V98" s="15">
        <f>IF(N($Q98)=0,"",MAX(0,($Q98-$P98-SUM($S98:$U98)))/$Q98)</f>
        <v/>
      </c>
      <c r="W98" s="8" t="n"/>
      <c r="X98" s="8" t="n"/>
      <c r="Y98" s="8" t="n"/>
      <c r="Z98" s="8" t="n"/>
    </row>
    <row r="99">
      <c r="A99" s="8" t="n"/>
      <c r="B99" s="9" t="n"/>
      <c r="C99" s="8" t="n"/>
      <c r="D99" s="10">
        <f>IF($C99="","",IFERROR(INDEX(畝マスター!$B$2:$B$21,MATCH($C99,畝マスター!$A$2:$A$21,0)),""))</f>
        <v/>
      </c>
      <c r="E99" s="11">
        <f>IF($C99="","",IFERROR(INDEX(畝マスター!$E$2:$E$21,MATCH($C99,畝マスター!$A$2:$A$21,0)),""))</f>
        <v/>
      </c>
      <c r="F99" s="10">
        <f>IF(OR($B99="",$E99=""),"",$B99-$E99)</f>
        <v/>
      </c>
      <c r="G99" s="8" t="n"/>
      <c r="H99" s="8" t="n"/>
      <c r="I99" s="8" t="n"/>
      <c r="J99" s="12" t="n"/>
      <c r="K99" s="13">
        <f>IF(OR($J99="",N($G99)=0),"",$J99/$G99)</f>
        <v/>
      </c>
      <c r="L99" s="8" t="n"/>
      <c r="M99" s="8" t="n"/>
      <c r="N99" s="8" t="n"/>
      <c r="O99" s="8" t="n"/>
      <c r="P99" s="8" t="n"/>
      <c r="Q99" s="10">
        <f>IF(COUNT($L99:$P99)=0,"",SUM($L99:$P99))</f>
        <v/>
      </c>
      <c r="R99" s="14">
        <f>IF(OR($J99="",N($Q99)=0),"",$J99*1000/$Q99)</f>
        <v/>
      </c>
      <c r="S99" s="8" t="n"/>
      <c r="T99" s="8" t="n"/>
      <c r="U99" s="8" t="n"/>
      <c r="V99" s="15">
        <f>IF(N($Q99)=0,"",MAX(0,($Q99-$P99-SUM($S99:$U99)))/$Q99)</f>
        <v/>
      </c>
      <c r="W99" s="8" t="n"/>
      <c r="X99" s="8" t="n"/>
      <c r="Y99" s="8" t="n"/>
      <c r="Z99" s="8" t="n"/>
    </row>
    <row r="100">
      <c r="A100" s="8" t="n"/>
      <c r="B100" s="9" t="n"/>
      <c r="C100" s="8" t="n"/>
      <c r="D100" s="10">
        <f>IF($C100="","",IFERROR(INDEX(畝マスター!$B$2:$B$21,MATCH($C100,畝マスター!$A$2:$A$21,0)),""))</f>
        <v/>
      </c>
      <c r="E100" s="11">
        <f>IF($C100="","",IFERROR(INDEX(畝マスター!$E$2:$E$21,MATCH($C100,畝マスター!$A$2:$A$21,0)),""))</f>
        <v/>
      </c>
      <c r="F100" s="10">
        <f>IF(OR($B100="",$E100=""),"",$B100-$E100)</f>
        <v/>
      </c>
      <c r="G100" s="8" t="n"/>
      <c r="H100" s="8" t="n"/>
      <c r="I100" s="8" t="n"/>
      <c r="J100" s="12" t="n"/>
      <c r="K100" s="13">
        <f>IF(OR($J100="",N($G100)=0),"",$J100/$G100)</f>
        <v/>
      </c>
      <c r="L100" s="8" t="n"/>
      <c r="M100" s="8" t="n"/>
      <c r="N100" s="8" t="n"/>
      <c r="O100" s="8" t="n"/>
      <c r="P100" s="8" t="n"/>
      <c r="Q100" s="10">
        <f>IF(COUNT($L100:$P100)=0,"",SUM($L100:$P100))</f>
        <v/>
      </c>
      <c r="R100" s="14">
        <f>IF(OR($J100="",N($Q100)=0),"",$J100*1000/$Q100)</f>
        <v/>
      </c>
      <c r="S100" s="8" t="n"/>
      <c r="T100" s="8" t="n"/>
      <c r="U100" s="8" t="n"/>
      <c r="V100" s="15">
        <f>IF(N($Q100)=0,"",MAX(0,($Q100-$P100-SUM($S100:$U100)))/$Q100)</f>
        <v/>
      </c>
      <c r="W100" s="8" t="n"/>
      <c r="X100" s="8" t="n"/>
      <c r="Y100" s="8" t="n"/>
      <c r="Z100" s="8" t="n"/>
    </row>
    <row r="101">
      <c r="A101" s="8" t="n"/>
      <c r="B101" s="9" t="n"/>
      <c r="C101" s="8" t="n"/>
      <c r="D101" s="10">
        <f>IF($C101="","",IFERROR(INDEX(畝マスター!$B$2:$B$21,MATCH($C101,畝マスター!$A$2:$A$21,0)),""))</f>
        <v/>
      </c>
      <c r="E101" s="11">
        <f>IF($C101="","",IFERROR(INDEX(畝マスター!$E$2:$E$21,MATCH($C101,畝マスター!$A$2:$A$21,0)),""))</f>
        <v/>
      </c>
      <c r="F101" s="10">
        <f>IF(OR($B101="",$E101=""),"",$B101-$E101)</f>
        <v/>
      </c>
      <c r="G101" s="8" t="n"/>
      <c r="H101" s="8" t="n"/>
      <c r="I101" s="8" t="n"/>
      <c r="J101" s="12" t="n"/>
      <c r="K101" s="13">
        <f>IF(OR($J101="",N($G101)=0),"",$J101/$G101)</f>
        <v/>
      </c>
      <c r="L101" s="8" t="n"/>
      <c r="M101" s="8" t="n"/>
      <c r="N101" s="8" t="n"/>
      <c r="O101" s="8" t="n"/>
      <c r="P101" s="8" t="n"/>
      <c r="Q101" s="10">
        <f>IF(COUNT($L101:$P101)=0,"",SUM($L101:$P101))</f>
        <v/>
      </c>
      <c r="R101" s="14">
        <f>IF(OR($J101="",N($Q101)=0),"",$J101*1000/$Q101)</f>
        <v/>
      </c>
      <c r="S101" s="8" t="n"/>
      <c r="T101" s="8" t="n"/>
      <c r="U101" s="8" t="n"/>
      <c r="V101" s="15">
        <f>IF(N($Q101)=0,"",MAX(0,($Q101-$P101-SUM($S101:$U101)))/$Q101)</f>
        <v/>
      </c>
      <c r="W101" s="8" t="n"/>
      <c r="X101" s="8" t="n"/>
      <c r="Y101" s="8" t="n"/>
      <c r="Z101" s="8" t="n"/>
    </row>
  </sheetData>
  <dataValidations count="4">
    <dataValidation sqref="C2:C101" showDropDown="0" showInputMessage="0" showErrorMessage="0" allowBlank="1" type="list">
      <formula1>=畝マスター!$A$2:$A$21</formula1>
    </dataValidation>
    <dataValidation sqref="H2:H101" showDropDown="0" showInputMessage="0" showErrorMessage="0" allowBlank="1" type="list">
      <formula1>"晴れ,曇り,雨,雨上がり"</formula1>
    </dataValidation>
    <dataValidation sqref="I2:I101" showDropDown="0" showInputMessage="0" showErrorMessage="0" allowBlank="1" type="list">
      <formula1>"乾燥,適湿,湿り"</formula1>
    </dataValidation>
    <dataValidation sqref="W2:X101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6" customWidth="1" min="5" max="5"/>
    <col width="8" customWidth="1" min="6" max="6"/>
    <col width="8" customWidth="1" min="7" max="7"/>
    <col width="9" customWidth="1" min="8" max="8"/>
    <col width="10" customWidth="1" min="9" max="9"/>
    <col width="9" customWidth="1" min="10" max="10"/>
    <col width="9" customWidth="1" min="11" max="11"/>
    <col width="11" customWidth="1" min="12" max="12"/>
    <col width="12" customWidth="1" min="13" max="13"/>
    <col width="30" customWidth="1" min="14" max="14"/>
  </cols>
  <sheetData>
    <row r="1" ht="36" customHeight="1">
      <c r="A1" s="7" t="inlineStr">
        <is>
          <t>記録日</t>
        </is>
      </c>
      <c r="B1" s="7" t="inlineStr">
        <is>
          <t>収穫ID</t>
        </is>
      </c>
      <c r="C1" s="7" t="inlineStr">
        <is>
          <t>収穫日
(自動)</t>
        </is>
      </c>
      <c r="D1" s="7" t="inlineStr">
        <is>
          <t>経過日数
(自動)</t>
        </is>
      </c>
      <c r="E1" s="7" t="inlineStr">
        <is>
          <t>保管場所</t>
        </is>
      </c>
      <c r="F1" s="7" t="inlineStr">
        <is>
          <t>温度
(℃)</t>
        </is>
      </c>
      <c r="G1" s="7" t="inlineStr">
        <is>
          <t>湿度
(%)</t>
        </is>
      </c>
      <c r="H1" s="7" t="inlineStr">
        <is>
          <t>残り本数</t>
        </is>
      </c>
      <c r="I1" s="7" t="inlineStr">
        <is>
          <t>腐敗・傷み
本数</t>
        </is>
      </c>
      <c r="J1" s="7" t="inlineStr">
        <is>
          <t>芽の有無</t>
        </is>
      </c>
      <c r="K1" s="7" t="inlineStr">
        <is>
          <t>甘さ評価
1〜5</t>
        </is>
      </c>
      <c r="L1" s="7" t="inlineStr">
        <is>
          <t>糖度Brix
(測れれば)</t>
        </is>
      </c>
      <c r="M1" s="7" t="inlineStr">
        <is>
          <t>食感</t>
        </is>
      </c>
      <c r="N1" s="7" t="inlineStr">
        <is>
          <t>状態メモ</t>
        </is>
      </c>
    </row>
    <row r="2">
      <c r="A2" s="9" t="n"/>
      <c r="B2" s="8" t="n"/>
      <c r="C2" s="11">
        <f>IF($B2="","",IFERROR(INDEX(収穫記録!$B$2:$B$101,MATCH($B2,収穫記録!$A$2:$A$101,0)),""))</f>
        <v/>
      </c>
      <c r="D2" s="10">
        <f>IF(OR($A2="",$C2=""),"",$A2-$C2)</f>
        <v/>
      </c>
      <c r="E2" s="8" t="n"/>
      <c r="F2" s="12" t="n"/>
      <c r="G2" s="8" t="n"/>
      <c r="H2" s="8" t="n"/>
      <c r="I2" s="8" t="n"/>
      <c r="J2" s="8" t="n"/>
      <c r="K2" s="8" t="n"/>
      <c r="L2" s="8" t="n"/>
      <c r="M2" s="8" t="n"/>
      <c r="N2" s="8" t="n"/>
    </row>
    <row r="3">
      <c r="A3" s="9" t="n"/>
      <c r="B3" s="8" t="n"/>
      <c r="C3" s="11">
        <f>IF($B3="","",IFERROR(INDEX(収穫記録!$B$2:$B$101,MATCH($B3,収穫記録!$A$2:$A$101,0)),""))</f>
        <v/>
      </c>
      <c r="D3" s="10">
        <f>IF(OR($A3="",$C3=""),"",$A3-$C3)</f>
        <v/>
      </c>
      <c r="E3" s="8" t="n"/>
      <c r="F3" s="12" t="n"/>
      <c r="G3" s="8" t="n"/>
      <c r="H3" s="8" t="n"/>
      <c r="I3" s="8" t="n"/>
      <c r="J3" s="8" t="n"/>
      <c r="K3" s="8" t="n"/>
      <c r="L3" s="8" t="n"/>
      <c r="M3" s="8" t="n"/>
      <c r="N3" s="8" t="n"/>
    </row>
    <row r="4">
      <c r="A4" s="9" t="n"/>
      <c r="B4" s="8" t="n"/>
      <c r="C4" s="11">
        <f>IF($B4="","",IFERROR(INDEX(収穫記録!$B$2:$B$101,MATCH($B4,収穫記録!$A$2:$A$101,0)),""))</f>
        <v/>
      </c>
      <c r="D4" s="10">
        <f>IF(OR($A4="",$C4=""),"",$A4-$C4)</f>
        <v/>
      </c>
      <c r="E4" s="8" t="n"/>
      <c r="F4" s="12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9" t="n"/>
      <c r="B5" s="8" t="n"/>
      <c r="C5" s="11">
        <f>IF($B5="","",IFERROR(INDEX(収穫記録!$B$2:$B$101,MATCH($B5,収穫記録!$A$2:$A$101,0)),""))</f>
        <v/>
      </c>
      <c r="D5" s="10">
        <f>IF(OR($A5="",$C5=""),"",$A5-$C5)</f>
        <v/>
      </c>
      <c r="E5" s="8" t="n"/>
      <c r="F5" s="12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9" t="n"/>
      <c r="B6" s="8" t="n"/>
      <c r="C6" s="11">
        <f>IF($B6="","",IFERROR(INDEX(収穫記録!$B$2:$B$101,MATCH($B6,収穫記録!$A$2:$A$101,0)),""))</f>
        <v/>
      </c>
      <c r="D6" s="10">
        <f>IF(OR($A6="",$C6=""),"",$A6-$C6)</f>
        <v/>
      </c>
      <c r="E6" s="8" t="n"/>
      <c r="F6" s="12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9" t="n"/>
      <c r="B7" s="8" t="n"/>
      <c r="C7" s="11">
        <f>IF($B7="","",IFERROR(INDEX(収穫記録!$B$2:$B$101,MATCH($B7,収穫記録!$A$2:$A$101,0)),""))</f>
        <v/>
      </c>
      <c r="D7" s="10">
        <f>IF(OR($A7="",$C7=""),"",$A7-$C7)</f>
        <v/>
      </c>
      <c r="E7" s="8" t="n"/>
      <c r="F7" s="12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9" t="n"/>
      <c r="B8" s="8" t="n"/>
      <c r="C8" s="11">
        <f>IF($B8="","",IFERROR(INDEX(収穫記録!$B$2:$B$101,MATCH($B8,収穫記録!$A$2:$A$101,0)),""))</f>
        <v/>
      </c>
      <c r="D8" s="10">
        <f>IF(OR($A8="",$C8=""),"",$A8-$C8)</f>
        <v/>
      </c>
      <c r="E8" s="8" t="n"/>
      <c r="F8" s="12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9" t="n"/>
      <c r="B9" s="8" t="n"/>
      <c r="C9" s="11">
        <f>IF($B9="","",IFERROR(INDEX(収穫記録!$B$2:$B$101,MATCH($B9,収穫記録!$A$2:$A$101,0)),""))</f>
        <v/>
      </c>
      <c r="D9" s="10">
        <f>IF(OR($A9="",$C9=""),"",$A9-$C9)</f>
        <v/>
      </c>
      <c r="E9" s="8" t="n"/>
      <c r="F9" s="12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9" t="n"/>
      <c r="B10" s="8" t="n"/>
      <c r="C10" s="11">
        <f>IF($B10="","",IFERROR(INDEX(収穫記録!$B$2:$B$101,MATCH($B10,収穫記録!$A$2:$A$101,0)),""))</f>
        <v/>
      </c>
      <c r="D10" s="10">
        <f>IF(OR($A10="",$C10=""),"",$A10-$C10)</f>
        <v/>
      </c>
      <c r="E10" s="8" t="n"/>
      <c r="F10" s="12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9" t="n"/>
      <c r="B11" s="8" t="n"/>
      <c r="C11" s="11">
        <f>IF($B11="","",IFERROR(INDEX(収穫記録!$B$2:$B$101,MATCH($B11,収穫記録!$A$2:$A$101,0)),""))</f>
        <v/>
      </c>
      <c r="D11" s="10">
        <f>IF(OR($A11="",$C11=""),"",$A11-$C11)</f>
        <v/>
      </c>
      <c r="E11" s="8" t="n"/>
      <c r="F11" s="12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9" t="n"/>
      <c r="B12" s="8" t="n"/>
      <c r="C12" s="11">
        <f>IF($B12="","",IFERROR(INDEX(収穫記録!$B$2:$B$101,MATCH($B12,収穫記録!$A$2:$A$101,0)),""))</f>
        <v/>
      </c>
      <c r="D12" s="10">
        <f>IF(OR($A12="",$C12=""),"",$A12-$C12)</f>
        <v/>
      </c>
      <c r="E12" s="8" t="n"/>
      <c r="F12" s="12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9" t="n"/>
      <c r="B13" s="8" t="n"/>
      <c r="C13" s="11">
        <f>IF($B13="","",IFERROR(INDEX(収穫記録!$B$2:$B$101,MATCH($B13,収穫記録!$A$2:$A$101,0)),""))</f>
        <v/>
      </c>
      <c r="D13" s="10">
        <f>IF(OR($A13="",$C13=""),"",$A13-$C13)</f>
        <v/>
      </c>
      <c r="E13" s="8" t="n"/>
      <c r="F13" s="12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9" t="n"/>
      <c r="B14" s="8" t="n"/>
      <c r="C14" s="11">
        <f>IF($B14="","",IFERROR(INDEX(収穫記録!$B$2:$B$101,MATCH($B14,収穫記録!$A$2:$A$101,0)),""))</f>
        <v/>
      </c>
      <c r="D14" s="10">
        <f>IF(OR($A14="",$C14=""),"",$A14-$C14)</f>
        <v/>
      </c>
      <c r="E14" s="8" t="n"/>
      <c r="F14" s="12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9" t="n"/>
      <c r="B15" s="8" t="n"/>
      <c r="C15" s="11">
        <f>IF($B15="","",IFERROR(INDEX(収穫記録!$B$2:$B$101,MATCH($B15,収穫記録!$A$2:$A$101,0)),""))</f>
        <v/>
      </c>
      <c r="D15" s="10">
        <f>IF(OR($A15="",$C15=""),"",$A15-$C15)</f>
        <v/>
      </c>
      <c r="E15" s="8" t="n"/>
      <c r="F15" s="12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9" t="n"/>
      <c r="B16" s="8" t="n"/>
      <c r="C16" s="11">
        <f>IF($B16="","",IFERROR(INDEX(収穫記録!$B$2:$B$101,MATCH($B16,収穫記録!$A$2:$A$101,0)),""))</f>
        <v/>
      </c>
      <c r="D16" s="10">
        <f>IF(OR($A16="",$C16=""),"",$A16-$C16)</f>
        <v/>
      </c>
      <c r="E16" s="8" t="n"/>
      <c r="F16" s="12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9" t="n"/>
      <c r="B17" s="8" t="n"/>
      <c r="C17" s="11">
        <f>IF($B17="","",IFERROR(INDEX(収穫記録!$B$2:$B$101,MATCH($B17,収穫記録!$A$2:$A$101,0)),""))</f>
        <v/>
      </c>
      <c r="D17" s="10">
        <f>IF(OR($A17="",$C17=""),"",$A17-$C17)</f>
        <v/>
      </c>
      <c r="E17" s="8" t="n"/>
      <c r="F17" s="12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9" t="n"/>
      <c r="B18" s="8" t="n"/>
      <c r="C18" s="11">
        <f>IF($B18="","",IFERROR(INDEX(収穫記録!$B$2:$B$101,MATCH($B18,収穫記録!$A$2:$A$101,0)),""))</f>
        <v/>
      </c>
      <c r="D18" s="10">
        <f>IF(OR($A18="",$C18=""),"",$A18-$C18)</f>
        <v/>
      </c>
      <c r="E18" s="8" t="n"/>
      <c r="F18" s="12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9" t="n"/>
      <c r="B19" s="8" t="n"/>
      <c r="C19" s="11">
        <f>IF($B19="","",IFERROR(INDEX(収穫記録!$B$2:$B$101,MATCH($B19,収穫記録!$A$2:$A$101,0)),""))</f>
        <v/>
      </c>
      <c r="D19" s="10">
        <f>IF(OR($A19="",$C19=""),"",$A19-$C19)</f>
        <v/>
      </c>
      <c r="E19" s="8" t="n"/>
      <c r="F19" s="12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9" t="n"/>
      <c r="B20" s="8" t="n"/>
      <c r="C20" s="11">
        <f>IF($B20="","",IFERROR(INDEX(収穫記録!$B$2:$B$101,MATCH($B20,収穫記録!$A$2:$A$101,0)),""))</f>
        <v/>
      </c>
      <c r="D20" s="10">
        <f>IF(OR($A20="",$C20=""),"",$A20-$C20)</f>
        <v/>
      </c>
      <c r="E20" s="8" t="n"/>
      <c r="F20" s="12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9" t="n"/>
      <c r="B21" s="8" t="n"/>
      <c r="C21" s="11">
        <f>IF($B21="","",IFERROR(INDEX(収穫記録!$B$2:$B$101,MATCH($B21,収穫記録!$A$2:$A$101,0)),""))</f>
        <v/>
      </c>
      <c r="D21" s="10">
        <f>IF(OR($A21="",$C21=""),"",$A21-$C21)</f>
        <v/>
      </c>
      <c r="E21" s="8" t="n"/>
      <c r="F21" s="12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9" t="n"/>
      <c r="B22" s="8" t="n"/>
      <c r="C22" s="11">
        <f>IF($B22="","",IFERROR(INDEX(収穫記録!$B$2:$B$101,MATCH($B22,収穫記録!$A$2:$A$101,0)),""))</f>
        <v/>
      </c>
      <c r="D22" s="10">
        <f>IF(OR($A22="",$C22=""),"",$A22-$C22)</f>
        <v/>
      </c>
      <c r="E22" s="8" t="n"/>
      <c r="F22" s="12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9" t="n"/>
      <c r="B23" s="8" t="n"/>
      <c r="C23" s="11">
        <f>IF($B23="","",IFERROR(INDEX(収穫記録!$B$2:$B$101,MATCH($B23,収穫記録!$A$2:$A$101,0)),""))</f>
        <v/>
      </c>
      <c r="D23" s="10">
        <f>IF(OR($A23="",$C23=""),"",$A23-$C23)</f>
        <v/>
      </c>
      <c r="E23" s="8" t="n"/>
      <c r="F23" s="12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9" t="n"/>
      <c r="B24" s="8" t="n"/>
      <c r="C24" s="11">
        <f>IF($B24="","",IFERROR(INDEX(収穫記録!$B$2:$B$101,MATCH($B24,収穫記録!$A$2:$A$101,0)),""))</f>
        <v/>
      </c>
      <c r="D24" s="10">
        <f>IF(OR($A24="",$C24=""),"",$A24-$C24)</f>
        <v/>
      </c>
      <c r="E24" s="8" t="n"/>
      <c r="F24" s="12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9" t="n"/>
      <c r="B25" s="8" t="n"/>
      <c r="C25" s="11">
        <f>IF($B25="","",IFERROR(INDEX(収穫記録!$B$2:$B$101,MATCH($B25,収穫記録!$A$2:$A$101,0)),""))</f>
        <v/>
      </c>
      <c r="D25" s="10">
        <f>IF(OR($A25="",$C25=""),"",$A25-$C25)</f>
        <v/>
      </c>
      <c r="E25" s="8" t="n"/>
      <c r="F25" s="12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9" t="n"/>
      <c r="B26" s="8" t="n"/>
      <c r="C26" s="11">
        <f>IF($B26="","",IFERROR(INDEX(収穫記録!$B$2:$B$101,MATCH($B26,収穫記録!$A$2:$A$101,0)),""))</f>
        <v/>
      </c>
      <c r="D26" s="10">
        <f>IF(OR($A26="",$C26=""),"",$A26-$C26)</f>
        <v/>
      </c>
      <c r="E26" s="8" t="n"/>
      <c r="F26" s="12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9" t="n"/>
      <c r="B27" s="8" t="n"/>
      <c r="C27" s="11">
        <f>IF($B27="","",IFERROR(INDEX(収穫記録!$B$2:$B$101,MATCH($B27,収穫記録!$A$2:$A$101,0)),""))</f>
        <v/>
      </c>
      <c r="D27" s="10">
        <f>IF(OR($A27="",$C27=""),"",$A27-$C27)</f>
        <v/>
      </c>
      <c r="E27" s="8" t="n"/>
      <c r="F27" s="12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9" t="n"/>
      <c r="B28" s="8" t="n"/>
      <c r="C28" s="11">
        <f>IF($B28="","",IFERROR(INDEX(収穫記録!$B$2:$B$101,MATCH($B28,収穫記録!$A$2:$A$101,0)),""))</f>
        <v/>
      </c>
      <c r="D28" s="10">
        <f>IF(OR($A28="",$C28=""),"",$A28-$C28)</f>
        <v/>
      </c>
      <c r="E28" s="8" t="n"/>
      <c r="F28" s="12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9" t="n"/>
      <c r="B29" s="8" t="n"/>
      <c r="C29" s="11">
        <f>IF($B29="","",IFERROR(INDEX(収穫記録!$B$2:$B$101,MATCH($B29,収穫記録!$A$2:$A$101,0)),""))</f>
        <v/>
      </c>
      <c r="D29" s="10">
        <f>IF(OR($A29="",$C29=""),"",$A29-$C29)</f>
        <v/>
      </c>
      <c r="E29" s="8" t="n"/>
      <c r="F29" s="12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9" t="n"/>
      <c r="B30" s="8" t="n"/>
      <c r="C30" s="11">
        <f>IF($B30="","",IFERROR(INDEX(収穫記録!$B$2:$B$101,MATCH($B30,収穫記録!$A$2:$A$101,0)),""))</f>
        <v/>
      </c>
      <c r="D30" s="10">
        <f>IF(OR($A30="",$C30=""),"",$A30-$C30)</f>
        <v/>
      </c>
      <c r="E30" s="8" t="n"/>
      <c r="F30" s="12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9" t="n"/>
      <c r="B31" s="8" t="n"/>
      <c r="C31" s="11">
        <f>IF($B31="","",IFERROR(INDEX(収穫記録!$B$2:$B$101,MATCH($B31,収穫記録!$A$2:$A$101,0)),""))</f>
        <v/>
      </c>
      <c r="D31" s="10">
        <f>IF(OR($A31="",$C31=""),"",$A31-$C31)</f>
        <v/>
      </c>
      <c r="E31" s="8" t="n"/>
      <c r="F31" s="12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9" t="n"/>
      <c r="B32" s="8" t="n"/>
      <c r="C32" s="11">
        <f>IF($B32="","",IFERROR(INDEX(収穫記録!$B$2:$B$101,MATCH($B32,収穫記録!$A$2:$A$101,0)),""))</f>
        <v/>
      </c>
      <c r="D32" s="10">
        <f>IF(OR($A32="",$C32=""),"",$A32-$C32)</f>
        <v/>
      </c>
      <c r="E32" s="8" t="n"/>
      <c r="F32" s="12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9" t="n"/>
      <c r="B33" s="8" t="n"/>
      <c r="C33" s="11">
        <f>IF($B33="","",IFERROR(INDEX(収穫記録!$B$2:$B$101,MATCH($B33,収穫記録!$A$2:$A$101,0)),""))</f>
        <v/>
      </c>
      <c r="D33" s="10">
        <f>IF(OR($A33="",$C33=""),"",$A33-$C33)</f>
        <v/>
      </c>
      <c r="E33" s="8" t="n"/>
      <c r="F33" s="12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9" t="n"/>
      <c r="B34" s="8" t="n"/>
      <c r="C34" s="11">
        <f>IF($B34="","",IFERROR(INDEX(収穫記録!$B$2:$B$101,MATCH($B34,収穫記録!$A$2:$A$101,0)),""))</f>
        <v/>
      </c>
      <c r="D34" s="10">
        <f>IF(OR($A34="",$C34=""),"",$A34-$C34)</f>
        <v/>
      </c>
      <c r="E34" s="8" t="n"/>
      <c r="F34" s="12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9" t="n"/>
      <c r="B35" s="8" t="n"/>
      <c r="C35" s="11">
        <f>IF($B35="","",IFERROR(INDEX(収穫記録!$B$2:$B$101,MATCH($B35,収穫記録!$A$2:$A$101,0)),""))</f>
        <v/>
      </c>
      <c r="D35" s="10">
        <f>IF(OR($A35="",$C35=""),"",$A35-$C35)</f>
        <v/>
      </c>
      <c r="E35" s="8" t="n"/>
      <c r="F35" s="12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9" t="n"/>
      <c r="B36" s="8" t="n"/>
      <c r="C36" s="11">
        <f>IF($B36="","",IFERROR(INDEX(収穫記録!$B$2:$B$101,MATCH($B36,収穫記録!$A$2:$A$101,0)),""))</f>
        <v/>
      </c>
      <c r="D36" s="10">
        <f>IF(OR($A36="",$C36=""),"",$A36-$C36)</f>
        <v/>
      </c>
      <c r="E36" s="8" t="n"/>
      <c r="F36" s="12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9" t="n"/>
      <c r="B37" s="8" t="n"/>
      <c r="C37" s="11">
        <f>IF($B37="","",IFERROR(INDEX(収穫記録!$B$2:$B$101,MATCH($B37,収穫記録!$A$2:$A$101,0)),""))</f>
        <v/>
      </c>
      <c r="D37" s="10">
        <f>IF(OR($A37="",$C37=""),"",$A37-$C37)</f>
        <v/>
      </c>
      <c r="E37" s="8" t="n"/>
      <c r="F37" s="12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9" t="n"/>
      <c r="B38" s="8" t="n"/>
      <c r="C38" s="11">
        <f>IF($B38="","",IFERROR(INDEX(収穫記録!$B$2:$B$101,MATCH($B38,収穫記録!$A$2:$A$101,0)),""))</f>
        <v/>
      </c>
      <c r="D38" s="10">
        <f>IF(OR($A38="",$C38=""),"",$A38-$C38)</f>
        <v/>
      </c>
      <c r="E38" s="8" t="n"/>
      <c r="F38" s="12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9" t="n"/>
      <c r="B39" s="8" t="n"/>
      <c r="C39" s="11">
        <f>IF($B39="","",IFERROR(INDEX(収穫記録!$B$2:$B$101,MATCH($B39,収穫記録!$A$2:$A$101,0)),""))</f>
        <v/>
      </c>
      <c r="D39" s="10">
        <f>IF(OR($A39="",$C39=""),"",$A39-$C39)</f>
        <v/>
      </c>
      <c r="E39" s="8" t="n"/>
      <c r="F39" s="12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9" t="n"/>
      <c r="B40" s="8" t="n"/>
      <c r="C40" s="11">
        <f>IF($B40="","",IFERROR(INDEX(収穫記録!$B$2:$B$101,MATCH($B40,収穫記録!$A$2:$A$101,0)),""))</f>
        <v/>
      </c>
      <c r="D40" s="10">
        <f>IF(OR($A40="",$C40=""),"",$A40-$C40)</f>
        <v/>
      </c>
      <c r="E40" s="8" t="n"/>
      <c r="F40" s="12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9" t="n"/>
      <c r="B41" s="8" t="n"/>
      <c r="C41" s="11">
        <f>IF($B41="","",IFERROR(INDEX(収穫記録!$B$2:$B$101,MATCH($B41,収穫記録!$A$2:$A$101,0)),""))</f>
        <v/>
      </c>
      <c r="D41" s="10">
        <f>IF(OR($A41="",$C41=""),"",$A41-$C41)</f>
        <v/>
      </c>
      <c r="E41" s="8" t="n"/>
      <c r="F41" s="12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9" t="n"/>
      <c r="B42" s="8" t="n"/>
      <c r="C42" s="11">
        <f>IF($B42="","",IFERROR(INDEX(収穫記録!$B$2:$B$101,MATCH($B42,収穫記録!$A$2:$A$101,0)),""))</f>
        <v/>
      </c>
      <c r="D42" s="10">
        <f>IF(OR($A42="",$C42=""),"",$A42-$C42)</f>
        <v/>
      </c>
      <c r="E42" s="8" t="n"/>
      <c r="F42" s="12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9" t="n"/>
      <c r="B43" s="8" t="n"/>
      <c r="C43" s="11">
        <f>IF($B43="","",IFERROR(INDEX(収穫記録!$B$2:$B$101,MATCH($B43,収穫記録!$A$2:$A$101,0)),""))</f>
        <v/>
      </c>
      <c r="D43" s="10">
        <f>IF(OR($A43="",$C43=""),"",$A43-$C43)</f>
        <v/>
      </c>
      <c r="E43" s="8" t="n"/>
      <c r="F43" s="12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9" t="n"/>
      <c r="B44" s="8" t="n"/>
      <c r="C44" s="11">
        <f>IF($B44="","",IFERROR(INDEX(収穫記録!$B$2:$B$101,MATCH($B44,収穫記録!$A$2:$A$101,0)),""))</f>
        <v/>
      </c>
      <c r="D44" s="10">
        <f>IF(OR($A44="",$C44=""),"",$A44-$C44)</f>
        <v/>
      </c>
      <c r="E44" s="8" t="n"/>
      <c r="F44" s="12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9" t="n"/>
      <c r="B45" s="8" t="n"/>
      <c r="C45" s="11">
        <f>IF($B45="","",IFERROR(INDEX(収穫記録!$B$2:$B$101,MATCH($B45,収穫記録!$A$2:$A$101,0)),""))</f>
        <v/>
      </c>
      <c r="D45" s="10">
        <f>IF(OR($A45="",$C45=""),"",$A45-$C45)</f>
        <v/>
      </c>
      <c r="E45" s="8" t="n"/>
      <c r="F45" s="12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9" t="n"/>
      <c r="B46" s="8" t="n"/>
      <c r="C46" s="11">
        <f>IF($B46="","",IFERROR(INDEX(収穫記録!$B$2:$B$101,MATCH($B46,収穫記録!$A$2:$A$101,0)),""))</f>
        <v/>
      </c>
      <c r="D46" s="10">
        <f>IF(OR($A46="",$C46=""),"",$A46-$C46)</f>
        <v/>
      </c>
      <c r="E46" s="8" t="n"/>
      <c r="F46" s="12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9" t="n"/>
      <c r="B47" s="8" t="n"/>
      <c r="C47" s="11">
        <f>IF($B47="","",IFERROR(INDEX(収穫記録!$B$2:$B$101,MATCH($B47,収穫記録!$A$2:$A$101,0)),""))</f>
        <v/>
      </c>
      <c r="D47" s="10">
        <f>IF(OR($A47="",$C47=""),"",$A47-$C47)</f>
        <v/>
      </c>
      <c r="E47" s="8" t="n"/>
      <c r="F47" s="12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9" t="n"/>
      <c r="B48" s="8" t="n"/>
      <c r="C48" s="11">
        <f>IF($B48="","",IFERROR(INDEX(収穫記録!$B$2:$B$101,MATCH($B48,収穫記録!$A$2:$A$101,0)),""))</f>
        <v/>
      </c>
      <c r="D48" s="10">
        <f>IF(OR($A48="",$C48=""),"",$A48-$C48)</f>
        <v/>
      </c>
      <c r="E48" s="8" t="n"/>
      <c r="F48" s="12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9" t="n"/>
      <c r="B49" s="8" t="n"/>
      <c r="C49" s="11">
        <f>IF($B49="","",IFERROR(INDEX(収穫記録!$B$2:$B$101,MATCH($B49,収穫記録!$A$2:$A$101,0)),""))</f>
        <v/>
      </c>
      <c r="D49" s="10">
        <f>IF(OR($A49="",$C49=""),"",$A49-$C49)</f>
        <v/>
      </c>
      <c r="E49" s="8" t="n"/>
      <c r="F49" s="12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9" t="n"/>
      <c r="B50" s="8" t="n"/>
      <c r="C50" s="11">
        <f>IF($B50="","",IFERROR(INDEX(収穫記録!$B$2:$B$101,MATCH($B50,収穫記録!$A$2:$A$101,0)),""))</f>
        <v/>
      </c>
      <c r="D50" s="10">
        <f>IF(OR($A50="",$C50=""),"",$A50-$C50)</f>
        <v/>
      </c>
      <c r="E50" s="8" t="n"/>
      <c r="F50" s="12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9" t="n"/>
      <c r="B51" s="8" t="n"/>
      <c r="C51" s="11">
        <f>IF($B51="","",IFERROR(INDEX(収穫記録!$B$2:$B$101,MATCH($B51,収穫記録!$A$2:$A$101,0)),""))</f>
        <v/>
      </c>
      <c r="D51" s="10">
        <f>IF(OR($A51="",$C51=""),"",$A51-$C51)</f>
        <v/>
      </c>
      <c r="E51" s="8" t="n"/>
      <c r="F51" s="12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9" t="n"/>
      <c r="B52" s="8" t="n"/>
      <c r="C52" s="11">
        <f>IF($B52="","",IFERROR(INDEX(収穫記録!$B$2:$B$101,MATCH($B52,収穫記録!$A$2:$A$101,0)),""))</f>
        <v/>
      </c>
      <c r="D52" s="10">
        <f>IF(OR($A52="",$C52=""),"",$A52-$C52)</f>
        <v/>
      </c>
      <c r="E52" s="8" t="n"/>
      <c r="F52" s="12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9" t="n"/>
      <c r="B53" s="8" t="n"/>
      <c r="C53" s="11">
        <f>IF($B53="","",IFERROR(INDEX(収穫記録!$B$2:$B$101,MATCH($B53,収穫記録!$A$2:$A$101,0)),""))</f>
        <v/>
      </c>
      <c r="D53" s="10">
        <f>IF(OR($A53="",$C53=""),"",$A53-$C53)</f>
        <v/>
      </c>
      <c r="E53" s="8" t="n"/>
      <c r="F53" s="12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9" t="n"/>
      <c r="B54" s="8" t="n"/>
      <c r="C54" s="11">
        <f>IF($B54="","",IFERROR(INDEX(収穫記録!$B$2:$B$101,MATCH($B54,収穫記録!$A$2:$A$101,0)),""))</f>
        <v/>
      </c>
      <c r="D54" s="10">
        <f>IF(OR($A54="",$C54=""),"",$A54-$C54)</f>
        <v/>
      </c>
      <c r="E54" s="8" t="n"/>
      <c r="F54" s="12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9" t="n"/>
      <c r="B55" s="8" t="n"/>
      <c r="C55" s="11">
        <f>IF($B55="","",IFERROR(INDEX(収穫記録!$B$2:$B$101,MATCH($B55,収穫記録!$A$2:$A$101,0)),""))</f>
        <v/>
      </c>
      <c r="D55" s="10">
        <f>IF(OR($A55="",$C55=""),"",$A55-$C55)</f>
        <v/>
      </c>
      <c r="E55" s="8" t="n"/>
      <c r="F55" s="12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9" t="n"/>
      <c r="B56" s="8" t="n"/>
      <c r="C56" s="11">
        <f>IF($B56="","",IFERROR(INDEX(収穫記録!$B$2:$B$101,MATCH($B56,収穫記録!$A$2:$A$101,0)),""))</f>
        <v/>
      </c>
      <c r="D56" s="10">
        <f>IF(OR($A56="",$C56=""),"",$A56-$C56)</f>
        <v/>
      </c>
      <c r="E56" s="8" t="n"/>
      <c r="F56" s="12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9" t="n"/>
      <c r="B57" s="8" t="n"/>
      <c r="C57" s="11">
        <f>IF($B57="","",IFERROR(INDEX(収穫記録!$B$2:$B$101,MATCH($B57,収穫記録!$A$2:$A$101,0)),""))</f>
        <v/>
      </c>
      <c r="D57" s="10">
        <f>IF(OR($A57="",$C57=""),"",$A57-$C57)</f>
        <v/>
      </c>
      <c r="E57" s="8" t="n"/>
      <c r="F57" s="12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9" t="n"/>
      <c r="B58" s="8" t="n"/>
      <c r="C58" s="11">
        <f>IF($B58="","",IFERROR(INDEX(収穫記録!$B$2:$B$101,MATCH($B58,収穫記録!$A$2:$A$101,0)),""))</f>
        <v/>
      </c>
      <c r="D58" s="10">
        <f>IF(OR($A58="",$C58=""),"",$A58-$C58)</f>
        <v/>
      </c>
      <c r="E58" s="8" t="n"/>
      <c r="F58" s="12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9" t="n"/>
      <c r="B59" s="8" t="n"/>
      <c r="C59" s="11">
        <f>IF($B59="","",IFERROR(INDEX(収穫記録!$B$2:$B$101,MATCH($B59,収穫記録!$A$2:$A$101,0)),""))</f>
        <v/>
      </c>
      <c r="D59" s="10">
        <f>IF(OR($A59="",$C59=""),"",$A59-$C59)</f>
        <v/>
      </c>
      <c r="E59" s="8" t="n"/>
      <c r="F59" s="12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9" t="n"/>
      <c r="B60" s="8" t="n"/>
      <c r="C60" s="11">
        <f>IF($B60="","",IFERROR(INDEX(収穫記録!$B$2:$B$101,MATCH($B60,収穫記録!$A$2:$A$101,0)),""))</f>
        <v/>
      </c>
      <c r="D60" s="10">
        <f>IF(OR($A60="",$C60=""),"",$A60-$C60)</f>
        <v/>
      </c>
      <c r="E60" s="8" t="n"/>
      <c r="F60" s="12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9" t="n"/>
      <c r="B61" s="8" t="n"/>
      <c r="C61" s="11">
        <f>IF($B61="","",IFERROR(INDEX(収穫記録!$B$2:$B$101,MATCH($B61,収穫記録!$A$2:$A$101,0)),""))</f>
        <v/>
      </c>
      <c r="D61" s="10">
        <f>IF(OR($A61="",$C61=""),"",$A61-$C61)</f>
        <v/>
      </c>
      <c r="E61" s="8" t="n"/>
      <c r="F61" s="12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9" t="n"/>
      <c r="B62" s="8" t="n"/>
      <c r="C62" s="11">
        <f>IF($B62="","",IFERROR(INDEX(収穫記録!$B$2:$B$101,MATCH($B62,収穫記録!$A$2:$A$101,0)),""))</f>
        <v/>
      </c>
      <c r="D62" s="10">
        <f>IF(OR($A62="",$C62=""),"",$A62-$C62)</f>
        <v/>
      </c>
      <c r="E62" s="8" t="n"/>
      <c r="F62" s="12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9" t="n"/>
      <c r="B63" s="8" t="n"/>
      <c r="C63" s="11">
        <f>IF($B63="","",IFERROR(INDEX(収穫記録!$B$2:$B$101,MATCH($B63,収穫記録!$A$2:$A$101,0)),""))</f>
        <v/>
      </c>
      <c r="D63" s="10">
        <f>IF(OR($A63="",$C63=""),"",$A63-$C63)</f>
        <v/>
      </c>
      <c r="E63" s="8" t="n"/>
      <c r="F63" s="12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9" t="n"/>
      <c r="B64" s="8" t="n"/>
      <c r="C64" s="11">
        <f>IF($B64="","",IFERROR(INDEX(収穫記録!$B$2:$B$101,MATCH($B64,収穫記録!$A$2:$A$101,0)),""))</f>
        <v/>
      </c>
      <c r="D64" s="10">
        <f>IF(OR($A64="",$C64=""),"",$A64-$C64)</f>
        <v/>
      </c>
      <c r="E64" s="8" t="n"/>
      <c r="F64" s="12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9" t="n"/>
      <c r="B65" s="8" t="n"/>
      <c r="C65" s="11">
        <f>IF($B65="","",IFERROR(INDEX(収穫記録!$B$2:$B$101,MATCH($B65,収穫記録!$A$2:$A$101,0)),""))</f>
        <v/>
      </c>
      <c r="D65" s="10">
        <f>IF(OR($A65="",$C65=""),"",$A65-$C65)</f>
        <v/>
      </c>
      <c r="E65" s="8" t="n"/>
      <c r="F65" s="12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9" t="n"/>
      <c r="B66" s="8" t="n"/>
      <c r="C66" s="11">
        <f>IF($B66="","",IFERROR(INDEX(収穫記録!$B$2:$B$101,MATCH($B66,収穫記録!$A$2:$A$101,0)),""))</f>
        <v/>
      </c>
      <c r="D66" s="10">
        <f>IF(OR($A66="",$C66=""),"",$A66-$C66)</f>
        <v/>
      </c>
      <c r="E66" s="8" t="n"/>
      <c r="F66" s="12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9" t="n"/>
      <c r="B67" s="8" t="n"/>
      <c r="C67" s="11">
        <f>IF($B67="","",IFERROR(INDEX(収穫記録!$B$2:$B$101,MATCH($B67,収穫記録!$A$2:$A$101,0)),""))</f>
        <v/>
      </c>
      <c r="D67" s="10">
        <f>IF(OR($A67="",$C67=""),"",$A67-$C67)</f>
        <v/>
      </c>
      <c r="E67" s="8" t="n"/>
      <c r="F67" s="12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9" t="n"/>
      <c r="B68" s="8" t="n"/>
      <c r="C68" s="11">
        <f>IF($B68="","",IFERROR(INDEX(収穫記録!$B$2:$B$101,MATCH($B68,収穫記録!$A$2:$A$101,0)),""))</f>
        <v/>
      </c>
      <c r="D68" s="10">
        <f>IF(OR($A68="",$C68=""),"",$A68-$C68)</f>
        <v/>
      </c>
      <c r="E68" s="8" t="n"/>
      <c r="F68" s="12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9" t="n"/>
      <c r="B69" s="8" t="n"/>
      <c r="C69" s="11">
        <f>IF($B69="","",IFERROR(INDEX(収穫記録!$B$2:$B$101,MATCH($B69,収穫記録!$A$2:$A$101,0)),""))</f>
        <v/>
      </c>
      <c r="D69" s="10">
        <f>IF(OR($A69="",$C69=""),"",$A69-$C69)</f>
        <v/>
      </c>
      <c r="E69" s="8" t="n"/>
      <c r="F69" s="12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9" t="n"/>
      <c r="B70" s="8" t="n"/>
      <c r="C70" s="11">
        <f>IF($B70="","",IFERROR(INDEX(収穫記録!$B$2:$B$101,MATCH($B70,収穫記録!$A$2:$A$101,0)),""))</f>
        <v/>
      </c>
      <c r="D70" s="10">
        <f>IF(OR($A70="",$C70=""),"",$A70-$C70)</f>
        <v/>
      </c>
      <c r="E70" s="8" t="n"/>
      <c r="F70" s="12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9" t="n"/>
      <c r="B71" s="8" t="n"/>
      <c r="C71" s="11">
        <f>IF($B71="","",IFERROR(INDEX(収穫記録!$B$2:$B$101,MATCH($B71,収穫記録!$A$2:$A$101,0)),""))</f>
        <v/>
      </c>
      <c r="D71" s="10">
        <f>IF(OR($A71="",$C71=""),"",$A71-$C71)</f>
        <v/>
      </c>
      <c r="E71" s="8" t="n"/>
      <c r="F71" s="12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9" t="n"/>
      <c r="B72" s="8" t="n"/>
      <c r="C72" s="11">
        <f>IF($B72="","",IFERROR(INDEX(収穫記録!$B$2:$B$101,MATCH($B72,収穫記録!$A$2:$A$101,0)),""))</f>
        <v/>
      </c>
      <c r="D72" s="10">
        <f>IF(OR($A72="",$C72=""),"",$A72-$C72)</f>
        <v/>
      </c>
      <c r="E72" s="8" t="n"/>
      <c r="F72" s="12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9" t="n"/>
      <c r="B73" s="8" t="n"/>
      <c r="C73" s="11">
        <f>IF($B73="","",IFERROR(INDEX(収穫記録!$B$2:$B$101,MATCH($B73,収穫記録!$A$2:$A$101,0)),""))</f>
        <v/>
      </c>
      <c r="D73" s="10">
        <f>IF(OR($A73="",$C73=""),"",$A73-$C73)</f>
        <v/>
      </c>
      <c r="E73" s="8" t="n"/>
      <c r="F73" s="12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9" t="n"/>
      <c r="B74" s="8" t="n"/>
      <c r="C74" s="11">
        <f>IF($B74="","",IFERROR(INDEX(収穫記録!$B$2:$B$101,MATCH($B74,収穫記録!$A$2:$A$101,0)),""))</f>
        <v/>
      </c>
      <c r="D74" s="10">
        <f>IF(OR($A74="",$C74=""),"",$A74-$C74)</f>
        <v/>
      </c>
      <c r="E74" s="8" t="n"/>
      <c r="F74" s="12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9" t="n"/>
      <c r="B75" s="8" t="n"/>
      <c r="C75" s="11">
        <f>IF($B75="","",IFERROR(INDEX(収穫記録!$B$2:$B$101,MATCH($B75,収穫記録!$A$2:$A$101,0)),""))</f>
        <v/>
      </c>
      <c r="D75" s="10">
        <f>IF(OR($A75="",$C75=""),"",$A75-$C75)</f>
        <v/>
      </c>
      <c r="E75" s="8" t="n"/>
      <c r="F75" s="12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9" t="n"/>
      <c r="B76" s="8" t="n"/>
      <c r="C76" s="11">
        <f>IF($B76="","",IFERROR(INDEX(収穫記録!$B$2:$B$101,MATCH($B76,収穫記録!$A$2:$A$101,0)),""))</f>
        <v/>
      </c>
      <c r="D76" s="10">
        <f>IF(OR($A76="",$C76=""),"",$A76-$C76)</f>
        <v/>
      </c>
      <c r="E76" s="8" t="n"/>
      <c r="F76" s="12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9" t="n"/>
      <c r="B77" s="8" t="n"/>
      <c r="C77" s="11">
        <f>IF($B77="","",IFERROR(INDEX(収穫記録!$B$2:$B$101,MATCH($B77,収穫記録!$A$2:$A$101,0)),""))</f>
        <v/>
      </c>
      <c r="D77" s="10">
        <f>IF(OR($A77="",$C77=""),"",$A77-$C77)</f>
        <v/>
      </c>
      <c r="E77" s="8" t="n"/>
      <c r="F77" s="12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9" t="n"/>
      <c r="B78" s="8" t="n"/>
      <c r="C78" s="11">
        <f>IF($B78="","",IFERROR(INDEX(収穫記録!$B$2:$B$101,MATCH($B78,収穫記録!$A$2:$A$101,0)),""))</f>
        <v/>
      </c>
      <c r="D78" s="10">
        <f>IF(OR($A78="",$C78=""),"",$A78-$C78)</f>
        <v/>
      </c>
      <c r="E78" s="8" t="n"/>
      <c r="F78" s="12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9" t="n"/>
      <c r="B79" s="8" t="n"/>
      <c r="C79" s="11">
        <f>IF($B79="","",IFERROR(INDEX(収穫記録!$B$2:$B$101,MATCH($B79,収穫記録!$A$2:$A$101,0)),""))</f>
        <v/>
      </c>
      <c r="D79" s="10">
        <f>IF(OR($A79="",$C79=""),"",$A79-$C79)</f>
        <v/>
      </c>
      <c r="E79" s="8" t="n"/>
      <c r="F79" s="12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9" t="n"/>
      <c r="B80" s="8" t="n"/>
      <c r="C80" s="11">
        <f>IF($B80="","",IFERROR(INDEX(収穫記録!$B$2:$B$101,MATCH($B80,収穫記録!$A$2:$A$101,0)),""))</f>
        <v/>
      </c>
      <c r="D80" s="10">
        <f>IF(OR($A80="",$C80=""),"",$A80-$C80)</f>
        <v/>
      </c>
      <c r="E80" s="8" t="n"/>
      <c r="F80" s="12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9" t="n"/>
      <c r="B81" s="8" t="n"/>
      <c r="C81" s="11">
        <f>IF($B81="","",IFERROR(INDEX(収穫記録!$B$2:$B$101,MATCH($B81,収穫記録!$A$2:$A$101,0)),""))</f>
        <v/>
      </c>
      <c r="D81" s="10">
        <f>IF(OR($A81="",$C81=""),"",$A81-$C81)</f>
        <v/>
      </c>
      <c r="E81" s="8" t="n"/>
      <c r="F81" s="12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9" t="n"/>
      <c r="B82" s="8" t="n"/>
      <c r="C82" s="11">
        <f>IF($B82="","",IFERROR(INDEX(収穫記録!$B$2:$B$101,MATCH($B82,収穫記録!$A$2:$A$101,0)),""))</f>
        <v/>
      </c>
      <c r="D82" s="10">
        <f>IF(OR($A82="",$C82=""),"",$A82-$C82)</f>
        <v/>
      </c>
      <c r="E82" s="8" t="n"/>
      <c r="F82" s="12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9" t="n"/>
      <c r="B83" s="8" t="n"/>
      <c r="C83" s="11">
        <f>IF($B83="","",IFERROR(INDEX(収穫記録!$B$2:$B$101,MATCH($B83,収穫記録!$A$2:$A$101,0)),""))</f>
        <v/>
      </c>
      <c r="D83" s="10">
        <f>IF(OR($A83="",$C83=""),"",$A83-$C83)</f>
        <v/>
      </c>
      <c r="E83" s="8" t="n"/>
      <c r="F83" s="12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9" t="n"/>
      <c r="B84" s="8" t="n"/>
      <c r="C84" s="11">
        <f>IF($B84="","",IFERROR(INDEX(収穫記録!$B$2:$B$101,MATCH($B84,収穫記録!$A$2:$A$101,0)),""))</f>
        <v/>
      </c>
      <c r="D84" s="10">
        <f>IF(OR($A84="",$C84=""),"",$A84-$C84)</f>
        <v/>
      </c>
      <c r="E84" s="8" t="n"/>
      <c r="F84" s="12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9" t="n"/>
      <c r="B85" s="8" t="n"/>
      <c r="C85" s="11">
        <f>IF($B85="","",IFERROR(INDEX(収穫記録!$B$2:$B$101,MATCH($B85,収穫記録!$A$2:$A$101,0)),""))</f>
        <v/>
      </c>
      <c r="D85" s="10">
        <f>IF(OR($A85="",$C85=""),"",$A85-$C85)</f>
        <v/>
      </c>
      <c r="E85" s="8" t="n"/>
      <c r="F85" s="12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9" t="n"/>
      <c r="B86" s="8" t="n"/>
      <c r="C86" s="11">
        <f>IF($B86="","",IFERROR(INDEX(収穫記録!$B$2:$B$101,MATCH($B86,収穫記録!$A$2:$A$101,0)),""))</f>
        <v/>
      </c>
      <c r="D86" s="10">
        <f>IF(OR($A86="",$C86=""),"",$A86-$C86)</f>
        <v/>
      </c>
      <c r="E86" s="8" t="n"/>
      <c r="F86" s="12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9" t="n"/>
      <c r="B87" s="8" t="n"/>
      <c r="C87" s="11">
        <f>IF($B87="","",IFERROR(INDEX(収穫記録!$B$2:$B$101,MATCH($B87,収穫記録!$A$2:$A$101,0)),""))</f>
        <v/>
      </c>
      <c r="D87" s="10">
        <f>IF(OR($A87="",$C87=""),"",$A87-$C87)</f>
        <v/>
      </c>
      <c r="E87" s="8" t="n"/>
      <c r="F87" s="12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9" t="n"/>
      <c r="B88" s="8" t="n"/>
      <c r="C88" s="11">
        <f>IF($B88="","",IFERROR(INDEX(収穫記録!$B$2:$B$101,MATCH($B88,収穫記録!$A$2:$A$101,0)),""))</f>
        <v/>
      </c>
      <c r="D88" s="10">
        <f>IF(OR($A88="",$C88=""),"",$A88-$C88)</f>
        <v/>
      </c>
      <c r="E88" s="8" t="n"/>
      <c r="F88" s="12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9" t="n"/>
      <c r="B89" s="8" t="n"/>
      <c r="C89" s="11">
        <f>IF($B89="","",IFERROR(INDEX(収穫記録!$B$2:$B$101,MATCH($B89,収穫記録!$A$2:$A$101,0)),""))</f>
        <v/>
      </c>
      <c r="D89" s="10">
        <f>IF(OR($A89="",$C89=""),"",$A89-$C89)</f>
        <v/>
      </c>
      <c r="E89" s="8" t="n"/>
      <c r="F89" s="12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9" t="n"/>
      <c r="B90" s="8" t="n"/>
      <c r="C90" s="11">
        <f>IF($B90="","",IFERROR(INDEX(収穫記録!$B$2:$B$101,MATCH($B90,収穫記録!$A$2:$A$101,0)),""))</f>
        <v/>
      </c>
      <c r="D90" s="10">
        <f>IF(OR($A90="",$C90=""),"",$A90-$C90)</f>
        <v/>
      </c>
      <c r="E90" s="8" t="n"/>
      <c r="F90" s="12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9" t="n"/>
      <c r="B91" s="8" t="n"/>
      <c r="C91" s="11">
        <f>IF($B91="","",IFERROR(INDEX(収穫記録!$B$2:$B$101,MATCH($B91,収穫記録!$A$2:$A$101,0)),""))</f>
        <v/>
      </c>
      <c r="D91" s="10">
        <f>IF(OR($A91="",$C91=""),"",$A91-$C91)</f>
        <v/>
      </c>
      <c r="E91" s="8" t="n"/>
      <c r="F91" s="12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9" t="n"/>
      <c r="B92" s="8" t="n"/>
      <c r="C92" s="11">
        <f>IF($B92="","",IFERROR(INDEX(収穫記録!$B$2:$B$101,MATCH($B92,収穫記録!$A$2:$A$101,0)),""))</f>
        <v/>
      </c>
      <c r="D92" s="10">
        <f>IF(OR($A92="",$C92=""),"",$A92-$C92)</f>
        <v/>
      </c>
      <c r="E92" s="8" t="n"/>
      <c r="F92" s="12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9" t="n"/>
      <c r="B93" s="8" t="n"/>
      <c r="C93" s="11">
        <f>IF($B93="","",IFERROR(INDEX(収穫記録!$B$2:$B$101,MATCH($B93,収穫記録!$A$2:$A$101,0)),""))</f>
        <v/>
      </c>
      <c r="D93" s="10">
        <f>IF(OR($A93="",$C93=""),"",$A93-$C93)</f>
        <v/>
      </c>
      <c r="E93" s="8" t="n"/>
      <c r="F93" s="12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9" t="n"/>
      <c r="B94" s="8" t="n"/>
      <c r="C94" s="11">
        <f>IF($B94="","",IFERROR(INDEX(収穫記録!$B$2:$B$101,MATCH($B94,収穫記録!$A$2:$A$101,0)),""))</f>
        <v/>
      </c>
      <c r="D94" s="10">
        <f>IF(OR($A94="",$C94=""),"",$A94-$C94)</f>
        <v/>
      </c>
      <c r="E94" s="8" t="n"/>
      <c r="F94" s="12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9" t="n"/>
      <c r="B95" s="8" t="n"/>
      <c r="C95" s="11">
        <f>IF($B95="","",IFERROR(INDEX(収穫記録!$B$2:$B$101,MATCH($B95,収穫記録!$A$2:$A$101,0)),""))</f>
        <v/>
      </c>
      <c r="D95" s="10">
        <f>IF(OR($A95="",$C95=""),"",$A95-$C95)</f>
        <v/>
      </c>
      <c r="E95" s="8" t="n"/>
      <c r="F95" s="12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9" t="n"/>
      <c r="B96" s="8" t="n"/>
      <c r="C96" s="11">
        <f>IF($B96="","",IFERROR(INDEX(収穫記録!$B$2:$B$101,MATCH($B96,収穫記録!$A$2:$A$101,0)),""))</f>
        <v/>
      </c>
      <c r="D96" s="10">
        <f>IF(OR($A96="",$C96=""),"",$A96-$C96)</f>
        <v/>
      </c>
      <c r="E96" s="8" t="n"/>
      <c r="F96" s="12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9" t="n"/>
      <c r="B97" s="8" t="n"/>
      <c r="C97" s="11">
        <f>IF($B97="","",IFERROR(INDEX(収穫記録!$B$2:$B$101,MATCH($B97,収穫記録!$A$2:$A$101,0)),""))</f>
        <v/>
      </c>
      <c r="D97" s="10">
        <f>IF(OR($A97="",$C97=""),"",$A97-$C97)</f>
        <v/>
      </c>
      <c r="E97" s="8" t="n"/>
      <c r="F97" s="12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9" t="n"/>
      <c r="B98" s="8" t="n"/>
      <c r="C98" s="11">
        <f>IF($B98="","",IFERROR(INDEX(収穫記録!$B$2:$B$101,MATCH($B98,収穫記録!$A$2:$A$101,0)),""))</f>
        <v/>
      </c>
      <c r="D98" s="10">
        <f>IF(OR($A98="",$C98=""),"",$A98-$C98)</f>
        <v/>
      </c>
      <c r="E98" s="8" t="n"/>
      <c r="F98" s="12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9" t="n"/>
      <c r="B99" s="8" t="n"/>
      <c r="C99" s="11">
        <f>IF($B99="","",IFERROR(INDEX(収穫記録!$B$2:$B$101,MATCH($B99,収穫記録!$A$2:$A$101,0)),""))</f>
        <v/>
      </c>
      <c r="D99" s="10">
        <f>IF(OR($A99="",$C99=""),"",$A99-$C99)</f>
        <v/>
      </c>
      <c r="E99" s="8" t="n"/>
      <c r="F99" s="12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9" t="n"/>
      <c r="B100" s="8" t="n"/>
      <c r="C100" s="11">
        <f>IF($B100="","",IFERROR(INDEX(収穫記録!$B$2:$B$101,MATCH($B100,収穫記録!$A$2:$A$101,0)),""))</f>
        <v/>
      </c>
      <c r="D100" s="10">
        <f>IF(OR($A100="",$C100=""),"",$A100-$C100)</f>
        <v/>
      </c>
      <c r="E100" s="8" t="n"/>
      <c r="F100" s="12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9" t="n"/>
      <c r="B101" s="8" t="n"/>
      <c r="C101" s="11">
        <f>IF($B101="","",IFERROR(INDEX(収穫記録!$B$2:$B$101,MATCH($B101,収穫記録!$A$2:$A$101,0)),""))</f>
        <v/>
      </c>
      <c r="D101" s="10">
        <f>IF(OR($A101="",$C101=""),"",$A101-$C101)</f>
        <v/>
      </c>
      <c r="E101" s="8" t="n"/>
      <c r="F101" s="12" t="n"/>
      <c r="G101" s="8" t="n"/>
      <c r="H101" s="8" t="n"/>
      <c r="I101" s="8" t="n"/>
      <c r="J101" s="8" t="n"/>
      <c r="K101" s="8" t="n"/>
      <c r="L101" s="8" t="n"/>
      <c r="M101" s="8" t="n"/>
      <c r="N101" s="8" t="n"/>
    </row>
  </sheetData>
  <dataValidations count="3">
    <dataValidation sqref="J2:J101" showDropDown="0" showInputMessage="0" showErrorMessage="0" allowBlank="1" type="list">
      <formula1>"なし,少し,多い"</formula1>
    </dataValidation>
    <dataValidation sqref="K2:K101" showDropDown="0" showInputMessage="0" showErrorMessage="0" allowBlank="1" type="list">
      <formula1>"1,2,3,4,5"</formula1>
    </dataValidation>
    <dataValidation sqref="M2:M101" showDropDown="0" showInputMessage="0" showErrorMessage="0" allowBlank="1" type="list">
      <formula1>"ねっとり,しっとり,ほくほく"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9" customWidth="1" min="9" max="9"/>
    <col width="11" customWidth="1" min="10" max="10"/>
    <col width="9" customWidth="1" min="11" max="11"/>
    <col width="9" customWidth="1" min="12" max="12"/>
    <col width="11" customWidth="1" min="13" max="13"/>
    <col width="11" customWidth="1" min="14" max="14"/>
    <col width="12" customWidth="1" min="15" max="15"/>
    <col width="28" customWidth="1" min="16" max="16"/>
  </cols>
  <sheetData>
    <row r="1" ht="36" customHeight="1">
      <c r="A1" s="7" t="inlineStr">
        <is>
          <t>販売日</t>
        </is>
      </c>
      <c r="B1" s="7" t="inlineStr">
        <is>
          <t>収穫ID</t>
        </is>
      </c>
      <c r="C1" s="7" t="inlineStr">
        <is>
          <t>畝ID
(自動)</t>
        </is>
      </c>
      <c r="D1" s="7" t="inlineStr">
        <is>
          <t>販路</t>
        </is>
      </c>
      <c r="E1" s="7" t="inlineStr">
        <is>
          <t>商品形態</t>
        </is>
      </c>
      <c r="F1" s="7" t="inlineStr">
        <is>
          <t>規格</t>
        </is>
      </c>
      <c r="G1" s="7" t="inlineStr">
        <is>
          <t>重量
(kg)</t>
        </is>
      </c>
      <c r="H1" s="7" t="inlineStr">
        <is>
          <t>販売価格
(円)</t>
        </is>
      </c>
      <c r="I1" s="7" t="inlineStr">
        <is>
          <t>手数料率</t>
        </is>
      </c>
      <c r="J1" s="7" t="inlineStr">
        <is>
          <t>手数料
(円・自動)</t>
        </is>
      </c>
      <c r="K1" s="7" t="inlineStr">
        <is>
          <t>送料
(円)</t>
        </is>
      </c>
      <c r="L1" s="7" t="inlineStr">
        <is>
          <t>資材費
(円)</t>
        </is>
      </c>
      <c r="M1" s="7" t="inlineStr">
        <is>
          <t>利益
(円・自動)</t>
        </is>
      </c>
      <c r="N1" s="7" t="inlineStr">
        <is>
          <t>kg単価
(円・自動)</t>
        </is>
      </c>
      <c r="O1" s="7" t="inlineStr">
        <is>
          <t>購入者の評価</t>
        </is>
      </c>
      <c r="P1" s="7" t="inlineStr">
        <is>
          <t>備考</t>
        </is>
      </c>
    </row>
    <row r="2">
      <c r="A2" s="9" t="n"/>
      <c r="B2" s="8" t="n"/>
      <c r="C2" s="10">
        <f>IF($B2="","",IFERROR(INDEX(収穫記録!$C$2:$C$101,MATCH($B2,収穫記録!$A$2:$A$101,0)),""))</f>
        <v/>
      </c>
      <c r="D2" s="8" t="n"/>
      <c r="E2" s="8" t="n"/>
      <c r="F2" s="8" t="n"/>
      <c r="G2" s="12" t="n"/>
      <c r="H2" s="16" t="n"/>
      <c r="I2" s="17" t="n"/>
      <c r="J2" s="18">
        <f>IF($H2="","",ROUNDDOWN($H2*N($I2),0))</f>
        <v/>
      </c>
      <c r="K2" s="16" t="n"/>
      <c r="L2" s="16" t="n"/>
      <c r="M2" s="19">
        <f>IF($H2="","",$H2-N($J2)-N($K2)-N($L2))</f>
        <v/>
      </c>
      <c r="N2" s="18">
        <f>IF(OR($H2="",N($G2)=0),"",$H2/$G2)</f>
        <v/>
      </c>
      <c r="O2" s="8" t="n"/>
      <c r="P2" s="8" t="n"/>
    </row>
    <row r="3">
      <c r="A3" s="9" t="n"/>
      <c r="B3" s="8" t="n"/>
      <c r="C3" s="10">
        <f>IF($B3="","",IFERROR(INDEX(収穫記録!$C$2:$C$101,MATCH($B3,収穫記録!$A$2:$A$101,0)),""))</f>
        <v/>
      </c>
      <c r="D3" s="8" t="n"/>
      <c r="E3" s="8" t="n"/>
      <c r="F3" s="8" t="n"/>
      <c r="G3" s="12" t="n"/>
      <c r="H3" s="16" t="n"/>
      <c r="I3" s="17" t="n"/>
      <c r="J3" s="18">
        <f>IF($H3="","",ROUNDDOWN($H3*N($I3),0))</f>
        <v/>
      </c>
      <c r="K3" s="16" t="n"/>
      <c r="L3" s="16" t="n"/>
      <c r="M3" s="19">
        <f>IF($H3="","",$H3-N($J3)-N($K3)-N($L3))</f>
        <v/>
      </c>
      <c r="N3" s="18">
        <f>IF(OR($H3="",N($G3)=0),"",$H3/$G3)</f>
        <v/>
      </c>
      <c r="O3" s="8" t="n"/>
      <c r="P3" s="8" t="n"/>
    </row>
    <row r="4">
      <c r="A4" s="9" t="n"/>
      <c r="B4" s="8" t="n"/>
      <c r="C4" s="10">
        <f>IF($B4="","",IFERROR(INDEX(収穫記録!$C$2:$C$101,MATCH($B4,収穫記録!$A$2:$A$101,0)),""))</f>
        <v/>
      </c>
      <c r="D4" s="8" t="n"/>
      <c r="E4" s="8" t="n"/>
      <c r="F4" s="8" t="n"/>
      <c r="G4" s="12" t="n"/>
      <c r="H4" s="16" t="n"/>
      <c r="I4" s="17" t="n"/>
      <c r="J4" s="18">
        <f>IF($H4="","",ROUNDDOWN($H4*N($I4),0))</f>
        <v/>
      </c>
      <c r="K4" s="16" t="n"/>
      <c r="L4" s="16" t="n"/>
      <c r="M4" s="19">
        <f>IF($H4="","",$H4-N($J4)-N($K4)-N($L4))</f>
        <v/>
      </c>
      <c r="N4" s="18">
        <f>IF(OR($H4="",N($G4)=0),"",$H4/$G4)</f>
        <v/>
      </c>
      <c r="O4" s="8" t="n"/>
      <c r="P4" s="8" t="n"/>
    </row>
    <row r="5">
      <c r="A5" s="9" t="n"/>
      <c r="B5" s="8" t="n"/>
      <c r="C5" s="10">
        <f>IF($B5="","",IFERROR(INDEX(収穫記録!$C$2:$C$101,MATCH($B5,収穫記録!$A$2:$A$101,0)),""))</f>
        <v/>
      </c>
      <c r="D5" s="8" t="n"/>
      <c r="E5" s="8" t="n"/>
      <c r="F5" s="8" t="n"/>
      <c r="G5" s="12" t="n"/>
      <c r="H5" s="16" t="n"/>
      <c r="I5" s="17" t="n"/>
      <c r="J5" s="18">
        <f>IF($H5="","",ROUNDDOWN($H5*N($I5),0))</f>
        <v/>
      </c>
      <c r="K5" s="16" t="n"/>
      <c r="L5" s="16" t="n"/>
      <c r="M5" s="19">
        <f>IF($H5="","",$H5-N($J5)-N($K5)-N($L5))</f>
        <v/>
      </c>
      <c r="N5" s="18">
        <f>IF(OR($H5="",N($G5)=0),"",$H5/$G5)</f>
        <v/>
      </c>
      <c r="O5" s="8" t="n"/>
      <c r="P5" s="8" t="n"/>
    </row>
    <row r="6">
      <c r="A6" s="9" t="n"/>
      <c r="B6" s="8" t="n"/>
      <c r="C6" s="10">
        <f>IF($B6="","",IFERROR(INDEX(収穫記録!$C$2:$C$101,MATCH($B6,収穫記録!$A$2:$A$101,0)),""))</f>
        <v/>
      </c>
      <c r="D6" s="8" t="n"/>
      <c r="E6" s="8" t="n"/>
      <c r="F6" s="8" t="n"/>
      <c r="G6" s="12" t="n"/>
      <c r="H6" s="16" t="n"/>
      <c r="I6" s="17" t="n"/>
      <c r="J6" s="18">
        <f>IF($H6="","",ROUNDDOWN($H6*N($I6),0))</f>
        <v/>
      </c>
      <c r="K6" s="16" t="n"/>
      <c r="L6" s="16" t="n"/>
      <c r="M6" s="19">
        <f>IF($H6="","",$H6-N($J6)-N($K6)-N($L6))</f>
        <v/>
      </c>
      <c r="N6" s="18">
        <f>IF(OR($H6="",N($G6)=0),"",$H6/$G6)</f>
        <v/>
      </c>
      <c r="O6" s="8" t="n"/>
      <c r="P6" s="8" t="n"/>
    </row>
    <row r="7">
      <c r="A7" s="9" t="n"/>
      <c r="B7" s="8" t="n"/>
      <c r="C7" s="10">
        <f>IF($B7="","",IFERROR(INDEX(収穫記録!$C$2:$C$101,MATCH($B7,収穫記録!$A$2:$A$101,0)),""))</f>
        <v/>
      </c>
      <c r="D7" s="8" t="n"/>
      <c r="E7" s="8" t="n"/>
      <c r="F7" s="8" t="n"/>
      <c r="G7" s="12" t="n"/>
      <c r="H7" s="16" t="n"/>
      <c r="I7" s="17" t="n"/>
      <c r="J7" s="18">
        <f>IF($H7="","",ROUNDDOWN($H7*N($I7),0))</f>
        <v/>
      </c>
      <c r="K7" s="16" t="n"/>
      <c r="L7" s="16" t="n"/>
      <c r="M7" s="19">
        <f>IF($H7="","",$H7-N($J7)-N($K7)-N($L7))</f>
        <v/>
      </c>
      <c r="N7" s="18">
        <f>IF(OR($H7="",N($G7)=0),"",$H7/$G7)</f>
        <v/>
      </c>
      <c r="O7" s="8" t="n"/>
      <c r="P7" s="8" t="n"/>
    </row>
    <row r="8">
      <c r="A8" s="9" t="n"/>
      <c r="B8" s="8" t="n"/>
      <c r="C8" s="10">
        <f>IF($B8="","",IFERROR(INDEX(収穫記録!$C$2:$C$101,MATCH($B8,収穫記録!$A$2:$A$101,0)),""))</f>
        <v/>
      </c>
      <c r="D8" s="8" t="n"/>
      <c r="E8" s="8" t="n"/>
      <c r="F8" s="8" t="n"/>
      <c r="G8" s="12" t="n"/>
      <c r="H8" s="16" t="n"/>
      <c r="I8" s="17" t="n"/>
      <c r="J8" s="18">
        <f>IF($H8="","",ROUNDDOWN($H8*N($I8),0))</f>
        <v/>
      </c>
      <c r="K8" s="16" t="n"/>
      <c r="L8" s="16" t="n"/>
      <c r="M8" s="19">
        <f>IF($H8="","",$H8-N($J8)-N($K8)-N($L8))</f>
        <v/>
      </c>
      <c r="N8" s="18">
        <f>IF(OR($H8="",N($G8)=0),"",$H8/$G8)</f>
        <v/>
      </c>
      <c r="O8" s="8" t="n"/>
      <c r="P8" s="8" t="n"/>
    </row>
    <row r="9">
      <c r="A9" s="9" t="n"/>
      <c r="B9" s="8" t="n"/>
      <c r="C9" s="10">
        <f>IF($B9="","",IFERROR(INDEX(収穫記録!$C$2:$C$101,MATCH($B9,収穫記録!$A$2:$A$101,0)),""))</f>
        <v/>
      </c>
      <c r="D9" s="8" t="n"/>
      <c r="E9" s="8" t="n"/>
      <c r="F9" s="8" t="n"/>
      <c r="G9" s="12" t="n"/>
      <c r="H9" s="16" t="n"/>
      <c r="I9" s="17" t="n"/>
      <c r="J9" s="18">
        <f>IF($H9="","",ROUNDDOWN($H9*N($I9),0))</f>
        <v/>
      </c>
      <c r="K9" s="16" t="n"/>
      <c r="L9" s="16" t="n"/>
      <c r="M9" s="19">
        <f>IF($H9="","",$H9-N($J9)-N($K9)-N($L9))</f>
        <v/>
      </c>
      <c r="N9" s="18">
        <f>IF(OR($H9="",N($G9)=0),"",$H9/$G9)</f>
        <v/>
      </c>
      <c r="O9" s="8" t="n"/>
      <c r="P9" s="8" t="n"/>
    </row>
    <row r="10">
      <c r="A10" s="9" t="n"/>
      <c r="B10" s="8" t="n"/>
      <c r="C10" s="10">
        <f>IF($B10="","",IFERROR(INDEX(収穫記録!$C$2:$C$101,MATCH($B10,収穫記録!$A$2:$A$101,0)),""))</f>
        <v/>
      </c>
      <c r="D10" s="8" t="n"/>
      <c r="E10" s="8" t="n"/>
      <c r="F10" s="8" t="n"/>
      <c r="G10" s="12" t="n"/>
      <c r="H10" s="16" t="n"/>
      <c r="I10" s="17" t="n"/>
      <c r="J10" s="18">
        <f>IF($H10="","",ROUNDDOWN($H10*N($I10),0))</f>
        <v/>
      </c>
      <c r="K10" s="16" t="n"/>
      <c r="L10" s="16" t="n"/>
      <c r="M10" s="19">
        <f>IF($H10="","",$H10-N($J10)-N($K10)-N($L10))</f>
        <v/>
      </c>
      <c r="N10" s="18">
        <f>IF(OR($H10="",N($G10)=0),"",$H10/$G10)</f>
        <v/>
      </c>
      <c r="O10" s="8" t="n"/>
      <c r="P10" s="8" t="n"/>
    </row>
    <row r="11">
      <c r="A11" s="9" t="n"/>
      <c r="B11" s="8" t="n"/>
      <c r="C11" s="10">
        <f>IF($B11="","",IFERROR(INDEX(収穫記録!$C$2:$C$101,MATCH($B11,収穫記録!$A$2:$A$101,0)),""))</f>
        <v/>
      </c>
      <c r="D11" s="8" t="n"/>
      <c r="E11" s="8" t="n"/>
      <c r="F11" s="8" t="n"/>
      <c r="G11" s="12" t="n"/>
      <c r="H11" s="16" t="n"/>
      <c r="I11" s="17" t="n"/>
      <c r="J11" s="18">
        <f>IF($H11="","",ROUNDDOWN($H11*N($I11),0))</f>
        <v/>
      </c>
      <c r="K11" s="16" t="n"/>
      <c r="L11" s="16" t="n"/>
      <c r="M11" s="19">
        <f>IF($H11="","",$H11-N($J11)-N($K11)-N($L11))</f>
        <v/>
      </c>
      <c r="N11" s="18">
        <f>IF(OR($H11="",N($G11)=0),"",$H11/$G11)</f>
        <v/>
      </c>
      <c r="O11" s="8" t="n"/>
      <c r="P11" s="8" t="n"/>
    </row>
    <row r="12">
      <c r="A12" s="9" t="n"/>
      <c r="B12" s="8" t="n"/>
      <c r="C12" s="10">
        <f>IF($B12="","",IFERROR(INDEX(収穫記録!$C$2:$C$101,MATCH($B12,収穫記録!$A$2:$A$101,0)),""))</f>
        <v/>
      </c>
      <c r="D12" s="8" t="n"/>
      <c r="E12" s="8" t="n"/>
      <c r="F12" s="8" t="n"/>
      <c r="G12" s="12" t="n"/>
      <c r="H12" s="16" t="n"/>
      <c r="I12" s="17" t="n"/>
      <c r="J12" s="18">
        <f>IF($H12="","",ROUNDDOWN($H12*N($I12),0))</f>
        <v/>
      </c>
      <c r="K12" s="16" t="n"/>
      <c r="L12" s="16" t="n"/>
      <c r="M12" s="19">
        <f>IF($H12="","",$H12-N($J12)-N($K12)-N($L12))</f>
        <v/>
      </c>
      <c r="N12" s="18">
        <f>IF(OR($H12="",N($G12)=0),"",$H12/$G12)</f>
        <v/>
      </c>
      <c r="O12" s="8" t="n"/>
      <c r="P12" s="8" t="n"/>
    </row>
    <row r="13">
      <c r="A13" s="9" t="n"/>
      <c r="B13" s="8" t="n"/>
      <c r="C13" s="10">
        <f>IF($B13="","",IFERROR(INDEX(収穫記録!$C$2:$C$101,MATCH($B13,収穫記録!$A$2:$A$101,0)),""))</f>
        <v/>
      </c>
      <c r="D13" s="8" t="n"/>
      <c r="E13" s="8" t="n"/>
      <c r="F13" s="8" t="n"/>
      <c r="G13" s="12" t="n"/>
      <c r="H13" s="16" t="n"/>
      <c r="I13" s="17" t="n"/>
      <c r="J13" s="18">
        <f>IF($H13="","",ROUNDDOWN($H13*N($I13),0))</f>
        <v/>
      </c>
      <c r="K13" s="16" t="n"/>
      <c r="L13" s="16" t="n"/>
      <c r="M13" s="19">
        <f>IF($H13="","",$H13-N($J13)-N($K13)-N($L13))</f>
        <v/>
      </c>
      <c r="N13" s="18">
        <f>IF(OR($H13="",N($G13)=0),"",$H13/$G13)</f>
        <v/>
      </c>
      <c r="O13" s="8" t="n"/>
      <c r="P13" s="8" t="n"/>
    </row>
    <row r="14">
      <c r="A14" s="9" t="n"/>
      <c r="B14" s="8" t="n"/>
      <c r="C14" s="10">
        <f>IF($B14="","",IFERROR(INDEX(収穫記録!$C$2:$C$101,MATCH($B14,収穫記録!$A$2:$A$101,0)),""))</f>
        <v/>
      </c>
      <c r="D14" s="8" t="n"/>
      <c r="E14" s="8" t="n"/>
      <c r="F14" s="8" t="n"/>
      <c r="G14" s="12" t="n"/>
      <c r="H14" s="16" t="n"/>
      <c r="I14" s="17" t="n"/>
      <c r="J14" s="18">
        <f>IF($H14="","",ROUNDDOWN($H14*N($I14),0))</f>
        <v/>
      </c>
      <c r="K14" s="16" t="n"/>
      <c r="L14" s="16" t="n"/>
      <c r="M14" s="19">
        <f>IF($H14="","",$H14-N($J14)-N($K14)-N($L14))</f>
        <v/>
      </c>
      <c r="N14" s="18">
        <f>IF(OR($H14="",N($G14)=0),"",$H14/$G14)</f>
        <v/>
      </c>
      <c r="O14" s="8" t="n"/>
      <c r="P14" s="8" t="n"/>
    </row>
    <row r="15">
      <c r="A15" s="9" t="n"/>
      <c r="B15" s="8" t="n"/>
      <c r="C15" s="10">
        <f>IF($B15="","",IFERROR(INDEX(収穫記録!$C$2:$C$101,MATCH($B15,収穫記録!$A$2:$A$101,0)),""))</f>
        <v/>
      </c>
      <c r="D15" s="8" t="n"/>
      <c r="E15" s="8" t="n"/>
      <c r="F15" s="8" t="n"/>
      <c r="G15" s="12" t="n"/>
      <c r="H15" s="16" t="n"/>
      <c r="I15" s="17" t="n"/>
      <c r="J15" s="18">
        <f>IF($H15="","",ROUNDDOWN($H15*N($I15),0))</f>
        <v/>
      </c>
      <c r="K15" s="16" t="n"/>
      <c r="L15" s="16" t="n"/>
      <c r="M15" s="19">
        <f>IF($H15="","",$H15-N($J15)-N($K15)-N($L15))</f>
        <v/>
      </c>
      <c r="N15" s="18">
        <f>IF(OR($H15="",N($G15)=0),"",$H15/$G15)</f>
        <v/>
      </c>
      <c r="O15" s="8" t="n"/>
      <c r="P15" s="8" t="n"/>
    </row>
    <row r="16">
      <c r="A16" s="9" t="n"/>
      <c r="B16" s="8" t="n"/>
      <c r="C16" s="10">
        <f>IF($B16="","",IFERROR(INDEX(収穫記録!$C$2:$C$101,MATCH($B16,収穫記録!$A$2:$A$101,0)),""))</f>
        <v/>
      </c>
      <c r="D16" s="8" t="n"/>
      <c r="E16" s="8" t="n"/>
      <c r="F16" s="8" t="n"/>
      <c r="G16" s="12" t="n"/>
      <c r="H16" s="16" t="n"/>
      <c r="I16" s="17" t="n"/>
      <c r="J16" s="18">
        <f>IF($H16="","",ROUNDDOWN($H16*N($I16),0))</f>
        <v/>
      </c>
      <c r="K16" s="16" t="n"/>
      <c r="L16" s="16" t="n"/>
      <c r="M16" s="19">
        <f>IF($H16="","",$H16-N($J16)-N($K16)-N($L16))</f>
        <v/>
      </c>
      <c r="N16" s="18">
        <f>IF(OR($H16="",N($G16)=0),"",$H16/$G16)</f>
        <v/>
      </c>
      <c r="O16" s="8" t="n"/>
      <c r="P16" s="8" t="n"/>
    </row>
    <row r="17">
      <c r="A17" s="9" t="n"/>
      <c r="B17" s="8" t="n"/>
      <c r="C17" s="10">
        <f>IF($B17="","",IFERROR(INDEX(収穫記録!$C$2:$C$101,MATCH($B17,収穫記録!$A$2:$A$101,0)),""))</f>
        <v/>
      </c>
      <c r="D17" s="8" t="n"/>
      <c r="E17" s="8" t="n"/>
      <c r="F17" s="8" t="n"/>
      <c r="G17" s="12" t="n"/>
      <c r="H17" s="16" t="n"/>
      <c r="I17" s="17" t="n"/>
      <c r="J17" s="18">
        <f>IF($H17="","",ROUNDDOWN($H17*N($I17),0))</f>
        <v/>
      </c>
      <c r="K17" s="16" t="n"/>
      <c r="L17" s="16" t="n"/>
      <c r="M17" s="19">
        <f>IF($H17="","",$H17-N($J17)-N($K17)-N($L17))</f>
        <v/>
      </c>
      <c r="N17" s="18">
        <f>IF(OR($H17="",N($G17)=0),"",$H17/$G17)</f>
        <v/>
      </c>
      <c r="O17" s="8" t="n"/>
      <c r="P17" s="8" t="n"/>
    </row>
    <row r="18">
      <c r="A18" s="9" t="n"/>
      <c r="B18" s="8" t="n"/>
      <c r="C18" s="10">
        <f>IF($B18="","",IFERROR(INDEX(収穫記録!$C$2:$C$101,MATCH($B18,収穫記録!$A$2:$A$101,0)),""))</f>
        <v/>
      </c>
      <c r="D18" s="8" t="n"/>
      <c r="E18" s="8" t="n"/>
      <c r="F18" s="8" t="n"/>
      <c r="G18" s="12" t="n"/>
      <c r="H18" s="16" t="n"/>
      <c r="I18" s="17" t="n"/>
      <c r="J18" s="18">
        <f>IF($H18="","",ROUNDDOWN($H18*N($I18),0))</f>
        <v/>
      </c>
      <c r="K18" s="16" t="n"/>
      <c r="L18" s="16" t="n"/>
      <c r="M18" s="19">
        <f>IF($H18="","",$H18-N($J18)-N($K18)-N($L18))</f>
        <v/>
      </c>
      <c r="N18" s="18">
        <f>IF(OR($H18="",N($G18)=0),"",$H18/$G18)</f>
        <v/>
      </c>
      <c r="O18" s="8" t="n"/>
      <c r="P18" s="8" t="n"/>
    </row>
    <row r="19">
      <c r="A19" s="9" t="n"/>
      <c r="B19" s="8" t="n"/>
      <c r="C19" s="10">
        <f>IF($B19="","",IFERROR(INDEX(収穫記録!$C$2:$C$101,MATCH($B19,収穫記録!$A$2:$A$101,0)),""))</f>
        <v/>
      </c>
      <c r="D19" s="8" t="n"/>
      <c r="E19" s="8" t="n"/>
      <c r="F19" s="8" t="n"/>
      <c r="G19" s="12" t="n"/>
      <c r="H19" s="16" t="n"/>
      <c r="I19" s="17" t="n"/>
      <c r="J19" s="18">
        <f>IF($H19="","",ROUNDDOWN($H19*N($I19),0))</f>
        <v/>
      </c>
      <c r="K19" s="16" t="n"/>
      <c r="L19" s="16" t="n"/>
      <c r="M19" s="19">
        <f>IF($H19="","",$H19-N($J19)-N($K19)-N($L19))</f>
        <v/>
      </c>
      <c r="N19" s="18">
        <f>IF(OR($H19="",N($G19)=0),"",$H19/$G19)</f>
        <v/>
      </c>
      <c r="O19" s="8" t="n"/>
      <c r="P19" s="8" t="n"/>
    </row>
    <row r="20">
      <c r="A20" s="9" t="n"/>
      <c r="B20" s="8" t="n"/>
      <c r="C20" s="10">
        <f>IF($B20="","",IFERROR(INDEX(収穫記録!$C$2:$C$101,MATCH($B20,収穫記録!$A$2:$A$101,0)),""))</f>
        <v/>
      </c>
      <c r="D20" s="8" t="n"/>
      <c r="E20" s="8" t="n"/>
      <c r="F20" s="8" t="n"/>
      <c r="G20" s="12" t="n"/>
      <c r="H20" s="16" t="n"/>
      <c r="I20" s="17" t="n"/>
      <c r="J20" s="18">
        <f>IF($H20="","",ROUNDDOWN($H20*N($I20),0))</f>
        <v/>
      </c>
      <c r="K20" s="16" t="n"/>
      <c r="L20" s="16" t="n"/>
      <c r="M20" s="19">
        <f>IF($H20="","",$H20-N($J20)-N($K20)-N($L20))</f>
        <v/>
      </c>
      <c r="N20" s="18">
        <f>IF(OR($H20="",N($G20)=0),"",$H20/$G20)</f>
        <v/>
      </c>
      <c r="O20" s="8" t="n"/>
      <c r="P20" s="8" t="n"/>
    </row>
    <row r="21">
      <c r="A21" s="9" t="n"/>
      <c r="B21" s="8" t="n"/>
      <c r="C21" s="10">
        <f>IF($B21="","",IFERROR(INDEX(収穫記録!$C$2:$C$101,MATCH($B21,収穫記録!$A$2:$A$101,0)),""))</f>
        <v/>
      </c>
      <c r="D21" s="8" t="n"/>
      <c r="E21" s="8" t="n"/>
      <c r="F21" s="8" t="n"/>
      <c r="G21" s="12" t="n"/>
      <c r="H21" s="16" t="n"/>
      <c r="I21" s="17" t="n"/>
      <c r="J21" s="18">
        <f>IF($H21="","",ROUNDDOWN($H21*N($I21),0))</f>
        <v/>
      </c>
      <c r="K21" s="16" t="n"/>
      <c r="L21" s="16" t="n"/>
      <c r="M21" s="19">
        <f>IF($H21="","",$H21-N($J21)-N($K21)-N($L21))</f>
        <v/>
      </c>
      <c r="N21" s="18">
        <f>IF(OR($H21="",N($G21)=0),"",$H21/$G21)</f>
        <v/>
      </c>
      <c r="O21" s="8" t="n"/>
      <c r="P21" s="8" t="n"/>
    </row>
    <row r="22">
      <c r="A22" s="9" t="n"/>
      <c r="B22" s="8" t="n"/>
      <c r="C22" s="10">
        <f>IF($B22="","",IFERROR(INDEX(収穫記録!$C$2:$C$101,MATCH($B22,収穫記録!$A$2:$A$101,0)),""))</f>
        <v/>
      </c>
      <c r="D22" s="8" t="n"/>
      <c r="E22" s="8" t="n"/>
      <c r="F22" s="8" t="n"/>
      <c r="G22" s="12" t="n"/>
      <c r="H22" s="16" t="n"/>
      <c r="I22" s="17" t="n"/>
      <c r="J22" s="18">
        <f>IF($H22="","",ROUNDDOWN($H22*N($I22),0))</f>
        <v/>
      </c>
      <c r="K22" s="16" t="n"/>
      <c r="L22" s="16" t="n"/>
      <c r="M22" s="19">
        <f>IF($H22="","",$H22-N($J22)-N($K22)-N($L22))</f>
        <v/>
      </c>
      <c r="N22" s="18">
        <f>IF(OR($H22="",N($G22)=0),"",$H22/$G22)</f>
        <v/>
      </c>
      <c r="O22" s="8" t="n"/>
      <c r="P22" s="8" t="n"/>
    </row>
    <row r="23">
      <c r="A23" s="9" t="n"/>
      <c r="B23" s="8" t="n"/>
      <c r="C23" s="10">
        <f>IF($B23="","",IFERROR(INDEX(収穫記録!$C$2:$C$101,MATCH($B23,収穫記録!$A$2:$A$101,0)),""))</f>
        <v/>
      </c>
      <c r="D23" s="8" t="n"/>
      <c r="E23" s="8" t="n"/>
      <c r="F23" s="8" t="n"/>
      <c r="G23" s="12" t="n"/>
      <c r="H23" s="16" t="n"/>
      <c r="I23" s="17" t="n"/>
      <c r="J23" s="18">
        <f>IF($H23="","",ROUNDDOWN($H23*N($I23),0))</f>
        <v/>
      </c>
      <c r="K23" s="16" t="n"/>
      <c r="L23" s="16" t="n"/>
      <c r="M23" s="19">
        <f>IF($H23="","",$H23-N($J23)-N($K23)-N($L23))</f>
        <v/>
      </c>
      <c r="N23" s="18">
        <f>IF(OR($H23="",N($G23)=0),"",$H23/$G23)</f>
        <v/>
      </c>
      <c r="O23" s="8" t="n"/>
      <c r="P23" s="8" t="n"/>
    </row>
    <row r="24">
      <c r="A24" s="9" t="n"/>
      <c r="B24" s="8" t="n"/>
      <c r="C24" s="10">
        <f>IF($B24="","",IFERROR(INDEX(収穫記録!$C$2:$C$101,MATCH($B24,収穫記録!$A$2:$A$101,0)),""))</f>
        <v/>
      </c>
      <c r="D24" s="8" t="n"/>
      <c r="E24" s="8" t="n"/>
      <c r="F24" s="8" t="n"/>
      <c r="G24" s="12" t="n"/>
      <c r="H24" s="16" t="n"/>
      <c r="I24" s="17" t="n"/>
      <c r="J24" s="18">
        <f>IF($H24="","",ROUNDDOWN($H24*N($I24),0))</f>
        <v/>
      </c>
      <c r="K24" s="16" t="n"/>
      <c r="L24" s="16" t="n"/>
      <c r="M24" s="19">
        <f>IF($H24="","",$H24-N($J24)-N($K24)-N($L24))</f>
        <v/>
      </c>
      <c r="N24" s="18">
        <f>IF(OR($H24="",N($G24)=0),"",$H24/$G24)</f>
        <v/>
      </c>
      <c r="O24" s="8" t="n"/>
      <c r="P24" s="8" t="n"/>
    </row>
    <row r="25">
      <c r="A25" s="9" t="n"/>
      <c r="B25" s="8" t="n"/>
      <c r="C25" s="10">
        <f>IF($B25="","",IFERROR(INDEX(収穫記録!$C$2:$C$101,MATCH($B25,収穫記録!$A$2:$A$101,0)),""))</f>
        <v/>
      </c>
      <c r="D25" s="8" t="n"/>
      <c r="E25" s="8" t="n"/>
      <c r="F25" s="8" t="n"/>
      <c r="G25" s="12" t="n"/>
      <c r="H25" s="16" t="n"/>
      <c r="I25" s="17" t="n"/>
      <c r="J25" s="18">
        <f>IF($H25="","",ROUNDDOWN($H25*N($I25),0))</f>
        <v/>
      </c>
      <c r="K25" s="16" t="n"/>
      <c r="L25" s="16" t="n"/>
      <c r="M25" s="19">
        <f>IF($H25="","",$H25-N($J25)-N($K25)-N($L25))</f>
        <v/>
      </c>
      <c r="N25" s="18">
        <f>IF(OR($H25="",N($G25)=0),"",$H25/$G25)</f>
        <v/>
      </c>
      <c r="O25" s="8" t="n"/>
      <c r="P25" s="8" t="n"/>
    </row>
    <row r="26">
      <c r="A26" s="9" t="n"/>
      <c r="B26" s="8" t="n"/>
      <c r="C26" s="10">
        <f>IF($B26="","",IFERROR(INDEX(収穫記録!$C$2:$C$101,MATCH($B26,収穫記録!$A$2:$A$101,0)),""))</f>
        <v/>
      </c>
      <c r="D26" s="8" t="n"/>
      <c r="E26" s="8" t="n"/>
      <c r="F26" s="8" t="n"/>
      <c r="G26" s="12" t="n"/>
      <c r="H26" s="16" t="n"/>
      <c r="I26" s="17" t="n"/>
      <c r="J26" s="18">
        <f>IF($H26="","",ROUNDDOWN($H26*N($I26),0))</f>
        <v/>
      </c>
      <c r="K26" s="16" t="n"/>
      <c r="L26" s="16" t="n"/>
      <c r="M26" s="19">
        <f>IF($H26="","",$H26-N($J26)-N($K26)-N($L26))</f>
        <v/>
      </c>
      <c r="N26" s="18">
        <f>IF(OR($H26="",N($G26)=0),"",$H26/$G26)</f>
        <v/>
      </c>
      <c r="O26" s="8" t="n"/>
      <c r="P26" s="8" t="n"/>
    </row>
    <row r="27">
      <c r="A27" s="9" t="n"/>
      <c r="B27" s="8" t="n"/>
      <c r="C27" s="10">
        <f>IF($B27="","",IFERROR(INDEX(収穫記録!$C$2:$C$101,MATCH($B27,収穫記録!$A$2:$A$101,0)),""))</f>
        <v/>
      </c>
      <c r="D27" s="8" t="n"/>
      <c r="E27" s="8" t="n"/>
      <c r="F27" s="8" t="n"/>
      <c r="G27" s="12" t="n"/>
      <c r="H27" s="16" t="n"/>
      <c r="I27" s="17" t="n"/>
      <c r="J27" s="18">
        <f>IF($H27="","",ROUNDDOWN($H27*N($I27),0))</f>
        <v/>
      </c>
      <c r="K27" s="16" t="n"/>
      <c r="L27" s="16" t="n"/>
      <c r="M27" s="19">
        <f>IF($H27="","",$H27-N($J27)-N($K27)-N($L27))</f>
        <v/>
      </c>
      <c r="N27" s="18">
        <f>IF(OR($H27="",N($G27)=0),"",$H27/$G27)</f>
        <v/>
      </c>
      <c r="O27" s="8" t="n"/>
      <c r="P27" s="8" t="n"/>
    </row>
    <row r="28">
      <c r="A28" s="9" t="n"/>
      <c r="B28" s="8" t="n"/>
      <c r="C28" s="10">
        <f>IF($B28="","",IFERROR(INDEX(収穫記録!$C$2:$C$101,MATCH($B28,収穫記録!$A$2:$A$101,0)),""))</f>
        <v/>
      </c>
      <c r="D28" s="8" t="n"/>
      <c r="E28" s="8" t="n"/>
      <c r="F28" s="8" t="n"/>
      <c r="G28" s="12" t="n"/>
      <c r="H28" s="16" t="n"/>
      <c r="I28" s="17" t="n"/>
      <c r="J28" s="18">
        <f>IF($H28="","",ROUNDDOWN($H28*N($I28),0))</f>
        <v/>
      </c>
      <c r="K28" s="16" t="n"/>
      <c r="L28" s="16" t="n"/>
      <c r="M28" s="19">
        <f>IF($H28="","",$H28-N($J28)-N($K28)-N($L28))</f>
        <v/>
      </c>
      <c r="N28" s="18">
        <f>IF(OR($H28="",N($G28)=0),"",$H28/$G28)</f>
        <v/>
      </c>
      <c r="O28" s="8" t="n"/>
      <c r="P28" s="8" t="n"/>
    </row>
    <row r="29">
      <c r="A29" s="9" t="n"/>
      <c r="B29" s="8" t="n"/>
      <c r="C29" s="10">
        <f>IF($B29="","",IFERROR(INDEX(収穫記録!$C$2:$C$101,MATCH($B29,収穫記録!$A$2:$A$101,0)),""))</f>
        <v/>
      </c>
      <c r="D29" s="8" t="n"/>
      <c r="E29" s="8" t="n"/>
      <c r="F29" s="8" t="n"/>
      <c r="G29" s="12" t="n"/>
      <c r="H29" s="16" t="n"/>
      <c r="I29" s="17" t="n"/>
      <c r="J29" s="18">
        <f>IF($H29="","",ROUNDDOWN($H29*N($I29),0))</f>
        <v/>
      </c>
      <c r="K29" s="16" t="n"/>
      <c r="L29" s="16" t="n"/>
      <c r="M29" s="19">
        <f>IF($H29="","",$H29-N($J29)-N($K29)-N($L29))</f>
        <v/>
      </c>
      <c r="N29" s="18">
        <f>IF(OR($H29="",N($G29)=0),"",$H29/$G29)</f>
        <v/>
      </c>
      <c r="O29" s="8" t="n"/>
      <c r="P29" s="8" t="n"/>
    </row>
    <row r="30">
      <c r="A30" s="9" t="n"/>
      <c r="B30" s="8" t="n"/>
      <c r="C30" s="10">
        <f>IF($B30="","",IFERROR(INDEX(収穫記録!$C$2:$C$101,MATCH($B30,収穫記録!$A$2:$A$101,0)),""))</f>
        <v/>
      </c>
      <c r="D30" s="8" t="n"/>
      <c r="E30" s="8" t="n"/>
      <c r="F30" s="8" t="n"/>
      <c r="G30" s="12" t="n"/>
      <c r="H30" s="16" t="n"/>
      <c r="I30" s="17" t="n"/>
      <c r="J30" s="18">
        <f>IF($H30="","",ROUNDDOWN($H30*N($I30),0))</f>
        <v/>
      </c>
      <c r="K30" s="16" t="n"/>
      <c r="L30" s="16" t="n"/>
      <c r="M30" s="19">
        <f>IF($H30="","",$H30-N($J30)-N($K30)-N($L30))</f>
        <v/>
      </c>
      <c r="N30" s="18">
        <f>IF(OR($H30="",N($G30)=0),"",$H30/$G30)</f>
        <v/>
      </c>
      <c r="O30" s="8" t="n"/>
      <c r="P30" s="8" t="n"/>
    </row>
    <row r="31">
      <c r="A31" s="9" t="n"/>
      <c r="B31" s="8" t="n"/>
      <c r="C31" s="10">
        <f>IF($B31="","",IFERROR(INDEX(収穫記録!$C$2:$C$101,MATCH($B31,収穫記録!$A$2:$A$101,0)),""))</f>
        <v/>
      </c>
      <c r="D31" s="8" t="n"/>
      <c r="E31" s="8" t="n"/>
      <c r="F31" s="8" t="n"/>
      <c r="G31" s="12" t="n"/>
      <c r="H31" s="16" t="n"/>
      <c r="I31" s="17" t="n"/>
      <c r="J31" s="18">
        <f>IF($H31="","",ROUNDDOWN($H31*N($I31),0))</f>
        <v/>
      </c>
      <c r="K31" s="16" t="n"/>
      <c r="L31" s="16" t="n"/>
      <c r="M31" s="19">
        <f>IF($H31="","",$H31-N($J31)-N($K31)-N($L31))</f>
        <v/>
      </c>
      <c r="N31" s="18">
        <f>IF(OR($H31="",N($G31)=0),"",$H31/$G31)</f>
        <v/>
      </c>
      <c r="O31" s="8" t="n"/>
      <c r="P31" s="8" t="n"/>
    </row>
    <row r="32">
      <c r="A32" s="9" t="n"/>
      <c r="B32" s="8" t="n"/>
      <c r="C32" s="10">
        <f>IF($B32="","",IFERROR(INDEX(収穫記録!$C$2:$C$101,MATCH($B32,収穫記録!$A$2:$A$101,0)),""))</f>
        <v/>
      </c>
      <c r="D32" s="8" t="n"/>
      <c r="E32" s="8" t="n"/>
      <c r="F32" s="8" t="n"/>
      <c r="G32" s="12" t="n"/>
      <c r="H32" s="16" t="n"/>
      <c r="I32" s="17" t="n"/>
      <c r="J32" s="18">
        <f>IF($H32="","",ROUNDDOWN($H32*N($I32),0))</f>
        <v/>
      </c>
      <c r="K32" s="16" t="n"/>
      <c r="L32" s="16" t="n"/>
      <c r="M32" s="19">
        <f>IF($H32="","",$H32-N($J32)-N($K32)-N($L32))</f>
        <v/>
      </c>
      <c r="N32" s="18">
        <f>IF(OR($H32="",N($G32)=0),"",$H32/$G32)</f>
        <v/>
      </c>
      <c r="O32" s="8" t="n"/>
      <c r="P32" s="8" t="n"/>
    </row>
    <row r="33">
      <c r="A33" s="9" t="n"/>
      <c r="B33" s="8" t="n"/>
      <c r="C33" s="10">
        <f>IF($B33="","",IFERROR(INDEX(収穫記録!$C$2:$C$101,MATCH($B33,収穫記録!$A$2:$A$101,0)),""))</f>
        <v/>
      </c>
      <c r="D33" s="8" t="n"/>
      <c r="E33" s="8" t="n"/>
      <c r="F33" s="8" t="n"/>
      <c r="G33" s="12" t="n"/>
      <c r="H33" s="16" t="n"/>
      <c r="I33" s="17" t="n"/>
      <c r="J33" s="18">
        <f>IF($H33="","",ROUNDDOWN($H33*N($I33),0))</f>
        <v/>
      </c>
      <c r="K33" s="16" t="n"/>
      <c r="L33" s="16" t="n"/>
      <c r="M33" s="19">
        <f>IF($H33="","",$H33-N($J33)-N($K33)-N($L33))</f>
        <v/>
      </c>
      <c r="N33" s="18">
        <f>IF(OR($H33="",N($G33)=0),"",$H33/$G33)</f>
        <v/>
      </c>
      <c r="O33" s="8" t="n"/>
      <c r="P33" s="8" t="n"/>
    </row>
    <row r="34">
      <c r="A34" s="9" t="n"/>
      <c r="B34" s="8" t="n"/>
      <c r="C34" s="10">
        <f>IF($B34="","",IFERROR(INDEX(収穫記録!$C$2:$C$101,MATCH($B34,収穫記録!$A$2:$A$101,0)),""))</f>
        <v/>
      </c>
      <c r="D34" s="8" t="n"/>
      <c r="E34" s="8" t="n"/>
      <c r="F34" s="8" t="n"/>
      <c r="G34" s="12" t="n"/>
      <c r="H34" s="16" t="n"/>
      <c r="I34" s="17" t="n"/>
      <c r="J34" s="18">
        <f>IF($H34="","",ROUNDDOWN($H34*N($I34),0))</f>
        <v/>
      </c>
      <c r="K34" s="16" t="n"/>
      <c r="L34" s="16" t="n"/>
      <c r="M34" s="19">
        <f>IF($H34="","",$H34-N($J34)-N($K34)-N($L34))</f>
        <v/>
      </c>
      <c r="N34" s="18">
        <f>IF(OR($H34="",N($G34)=0),"",$H34/$G34)</f>
        <v/>
      </c>
      <c r="O34" s="8" t="n"/>
      <c r="P34" s="8" t="n"/>
    </row>
    <row r="35">
      <c r="A35" s="9" t="n"/>
      <c r="B35" s="8" t="n"/>
      <c r="C35" s="10">
        <f>IF($B35="","",IFERROR(INDEX(収穫記録!$C$2:$C$101,MATCH($B35,収穫記録!$A$2:$A$101,0)),""))</f>
        <v/>
      </c>
      <c r="D35" s="8" t="n"/>
      <c r="E35" s="8" t="n"/>
      <c r="F35" s="8" t="n"/>
      <c r="G35" s="12" t="n"/>
      <c r="H35" s="16" t="n"/>
      <c r="I35" s="17" t="n"/>
      <c r="J35" s="18">
        <f>IF($H35="","",ROUNDDOWN($H35*N($I35),0))</f>
        <v/>
      </c>
      <c r="K35" s="16" t="n"/>
      <c r="L35" s="16" t="n"/>
      <c r="M35" s="19">
        <f>IF($H35="","",$H35-N($J35)-N($K35)-N($L35))</f>
        <v/>
      </c>
      <c r="N35" s="18">
        <f>IF(OR($H35="",N($G35)=0),"",$H35/$G35)</f>
        <v/>
      </c>
      <c r="O35" s="8" t="n"/>
      <c r="P35" s="8" t="n"/>
    </row>
    <row r="36">
      <c r="A36" s="9" t="n"/>
      <c r="B36" s="8" t="n"/>
      <c r="C36" s="10">
        <f>IF($B36="","",IFERROR(INDEX(収穫記録!$C$2:$C$101,MATCH($B36,収穫記録!$A$2:$A$101,0)),""))</f>
        <v/>
      </c>
      <c r="D36" s="8" t="n"/>
      <c r="E36" s="8" t="n"/>
      <c r="F36" s="8" t="n"/>
      <c r="G36" s="12" t="n"/>
      <c r="H36" s="16" t="n"/>
      <c r="I36" s="17" t="n"/>
      <c r="J36" s="18">
        <f>IF($H36="","",ROUNDDOWN($H36*N($I36),0))</f>
        <v/>
      </c>
      <c r="K36" s="16" t="n"/>
      <c r="L36" s="16" t="n"/>
      <c r="M36" s="19">
        <f>IF($H36="","",$H36-N($J36)-N($K36)-N($L36))</f>
        <v/>
      </c>
      <c r="N36" s="18">
        <f>IF(OR($H36="",N($G36)=0),"",$H36/$G36)</f>
        <v/>
      </c>
      <c r="O36" s="8" t="n"/>
      <c r="P36" s="8" t="n"/>
    </row>
    <row r="37">
      <c r="A37" s="9" t="n"/>
      <c r="B37" s="8" t="n"/>
      <c r="C37" s="10">
        <f>IF($B37="","",IFERROR(INDEX(収穫記録!$C$2:$C$101,MATCH($B37,収穫記録!$A$2:$A$101,0)),""))</f>
        <v/>
      </c>
      <c r="D37" s="8" t="n"/>
      <c r="E37" s="8" t="n"/>
      <c r="F37" s="8" t="n"/>
      <c r="G37" s="12" t="n"/>
      <c r="H37" s="16" t="n"/>
      <c r="I37" s="17" t="n"/>
      <c r="J37" s="18">
        <f>IF($H37="","",ROUNDDOWN($H37*N($I37),0))</f>
        <v/>
      </c>
      <c r="K37" s="16" t="n"/>
      <c r="L37" s="16" t="n"/>
      <c r="M37" s="19">
        <f>IF($H37="","",$H37-N($J37)-N($K37)-N($L37))</f>
        <v/>
      </c>
      <c r="N37" s="18">
        <f>IF(OR($H37="",N($G37)=0),"",$H37/$G37)</f>
        <v/>
      </c>
      <c r="O37" s="8" t="n"/>
      <c r="P37" s="8" t="n"/>
    </row>
    <row r="38">
      <c r="A38" s="9" t="n"/>
      <c r="B38" s="8" t="n"/>
      <c r="C38" s="10">
        <f>IF($B38="","",IFERROR(INDEX(収穫記録!$C$2:$C$101,MATCH($B38,収穫記録!$A$2:$A$101,0)),""))</f>
        <v/>
      </c>
      <c r="D38" s="8" t="n"/>
      <c r="E38" s="8" t="n"/>
      <c r="F38" s="8" t="n"/>
      <c r="G38" s="12" t="n"/>
      <c r="H38" s="16" t="n"/>
      <c r="I38" s="17" t="n"/>
      <c r="J38" s="18">
        <f>IF($H38="","",ROUNDDOWN($H38*N($I38),0))</f>
        <v/>
      </c>
      <c r="K38" s="16" t="n"/>
      <c r="L38" s="16" t="n"/>
      <c r="M38" s="19">
        <f>IF($H38="","",$H38-N($J38)-N($K38)-N($L38))</f>
        <v/>
      </c>
      <c r="N38" s="18">
        <f>IF(OR($H38="",N($G38)=0),"",$H38/$G38)</f>
        <v/>
      </c>
      <c r="O38" s="8" t="n"/>
      <c r="P38" s="8" t="n"/>
    </row>
    <row r="39">
      <c r="A39" s="9" t="n"/>
      <c r="B39" s="8" t="n"/>
      <c r="C39" s="10">
        <f>IF($B39="","",IFERROR(INDEX(収穫記録!$C$2:$C$101,MATCH($B39,収穫記録!$A$2:$A$101,0)),""))</f>
        <v/>
      </c>
      <c r="D39" s="8" t="n"/>
      <c r="E39" s="8" t="n"/>
      <c r="F39" s="8" t="n"/>
      <c r="G39" s="12" t="n"/>
      <c r="H39" s="16" t="n"/>
      <c r="I39" s="17" t="n"/>
      <c r="J39" s="18">
        <f>IF($H39="","",ROUNDDOWN($H39*N($I39),0))</f>
        <v/>
      </c>
      <c r="K39" s="16" t="n"/>
      <c r="L39" s="16" t="n"/>
      <c r="M39" s="19">
        <f>IF($H39="","",$H39-N($J39)-N($K39)-N($L39))</f>
        <v/>
      </c>
      <c r="N39" s="18">
        <f>IF(OR($H39="",N($G39)=0),"",$H39/$G39)</f>
        <v/>
      </c>
      <c r="O39" s="8" t="n"/>
      <c r="P39" s="8" t="n"/>
    </row>
    <row r="40">
      <c r="A40" s="9" t="n"/>
      <c r="B40" s="8" t="n"/>
      <c r="C40" s="10">
        <f>IF($B40="","",IFERROR(INDEX(収穫記録!$C$2:$C$101,MATCH($B40,収穫記録!$A$2:$A$101,0)),""))</f>
        <v/>
      </c>
      <c r="D40" s="8" t="n"/>
      <c r="E40" s="8" t="n"/>
      <c r="F40" s="8" t="n"/>
      <c r="G40" s="12" t="n"/>
      <c r="H40" s="16" t="n"/>
      <c r="I40" s="17" t="n"/>
      <c r="J40" s="18">
        <f>IF($H40="","",ROUNDDOWN($H40*N($I40),0))</f>
        <v/>
      </c>
      <c r="K40" s="16" t="n"/>
      <c r="L40" s="16" t="n"/>
      <c r="M40" s="19">
        <f>IF($H40="","",$H40-N($J40)-N($K40)-N($L40))</f>
        <v/>
      </c>
      <c r="N40" s="18">
        <f>IF(OR($H40="",N($G40)=0),"",$H40/$G40)</f>
        <v/>
      </c>
      <c r="O40" s="8" t="n"/>
      <c r="P40" s="8" t="n"/>
    </row>
    <row r="41">
      <c r="A41" s="9" t="n"/>
      <c r="B41" s="8" t="n"/>
      <c r="C41" s="10">
        <f>IF($B41="","",IFERROR(INDEX(収穫記録!$C$2:$C$101,MATCH($B41,収穫記録!$A$2:$A$101,0)),""))</f>
        <v/>
      </c>
      <c r="D41" s="8" t="n"/>
      <c r="E41" s="8" t="n"/>
      <c r="F41" s="8" t="n"/>
      <c r="G41" s="12" t="n"/>
      <c r="H41" s="16" t="n"/>
      <c r="I41" s="17" t="n"/>
      <c r="J41" s="18">
        <f>IF($H41="","",ROUNDDOWN($H41*N($I41),0))</f>
        <v/>
      </c>
      <c r="K41" s="16" t="n"/>
      <c r="L41" s="16" t="n"/>
      <c r="M41" s="19">
        <f>IF($H41="","",$H41-N($J41)-N($K41)-N($L41))</f>
        <v/>
      </c>
      <c r="N41" s="18">
        <f>IF(OR($H41="",N($G41)=0),"",$H41/$G41)</f>
        <v/>
      </c>
      <c r="O41" s="8" t="n"/>
      <c r="P41" s="8" t="n"/>
    </row>
    <row r="42">
      <c r="A42" s="9" t="n"/>
      <c r="B42" s="8" t="n"/>
      <c r="C42" s="10">
        <f>IF($B42="","",IFERROR(INDEX(収穫記録!$C$2:$C$101,MATCH($B42,収穫記録!$A$2:$A$101,0)),""))</f>
        <v/>
      </c>
      <c r="D42" s="8" t="n"/>
      <c r="E42" s="8" t="n"/>
      <c r="F42" s="8" t="n"/>
      <c r="G42" s="12" t="n"/>
      <c r="H42" s="16" t="n"/>
      <c r="I42" s="17" t="n"/>
      <c r="J42" s="18">
        <f>IF($H42="","",ROUNDDOWN($H42*N($I42),0))</f>
        <v/>
      </c>
      <c r="K42" s="16" t="n"/>
      <c r="L42" s="16" t="n"/>
      <c r="M42" s="19">
        <f>IF($H42="","",$H42-N($J42)-N($K42)-N($L42))</f>
        <v/>
      </c>
      <c r="N42" s="18">
        <f>IF(OR($H42="",N($G42)=0),"",$H42/$G42)</f>
        <v/>
      </c>
      <c r="O42" s="8" t="n"/>
      <c r="P42" s="8" t="n"/>
    </row>
    <row r="43">
      <c r="A43" s="9" t="n"/>
      <c r="B43" s="8" t="n"/>
      <c r="C43" s="10">
        <f>IF($B43="","",IFERROR(INDEX(収穫記録!$C$2:$C$101,MATCH($B43,収穫記録!$A$2:$A$101,0)),""))</f>
        <v/>
      </c>
      <c r="D43" s="8" t="n"/>
      <c r="E43" s="8" t="n"/>
      <c r="F43" s="8" t="n"/>
      <c r="G43" s="12" t="n"/>
      <c r="H43" s="16" t="n"/>
      <c r="I43" s="17" t="n"/>
      <c r="J43" s="18">
        <f>IF($H43="","",ROUNDDOWN($H43*N($I43),0))</f>
        <v/>
      </c>
      <c r="K43" s="16" t="n"/>
      <c r="L43" s="16" t="n"/>
      <c r="M43" s="19">
        <f>IF($H43="","",$H43-N($J43)-N($K43)-N($L43))</f>
        <v/>
      </c>
      <c r="N43" s="18">
        <f>IF(OR($H43="",N($G43)=0),"",$H43/$G43)</f>
        <v/>
      </c>
      <c r="O43" s="8" t="n"/>
      <c r="P43" s="8" t="n"/>
    </row>
    <row r="44">
      <c r="A44" s="9" t="n"/>
      <c r="B44" s="8" t="n"/>
      <c r="C44" s="10">
        <f>IF($B44="","",IFERROR(INDEX(収穫記録!$C$2:$C$101,MATCH($B44,収穫記録!$A$2:$A$101,0)),""))</f>
        <v/>
      </c>
      <c r="D44" s="8" t="n"/>
      <c r="E44" s="8" t="n"/>
      <c r="F44" s="8" t="n"/>
      <c r="G44" s="12" t="n"/>
      <c r="H44" s="16" t="n"/>
      <c r="I44" s="17" t="n"/>
      <c r="J44" s="18">
        <f>IF($H44="","",ROUNDDOWN($H44*N($I44),0))</f>
        <v/>
      </c>
      <c r="K44" s="16" t="n"/>
      <c r="L44" s="16" t="n"/>
      <c r="M44" s="19">
        <f>IF($H44="","",$H44-N($J44)-N($K44)-N($L44))</f>
        <v/>
      </c>
      <c r="N44" s="18">
        <f>IF(OR($H44="",N($G44)=0),"",$H44/$G44)</f>
        <v/>
      </c>
      <c r="O44" s="8" t="n"/>
      <c r="P44" s="8" t="n"/>
    </row>
    <row r="45">
      <c r="A45" s="9" t="n"/>
      <c r="B45" s="8" t="n"/>
      <c r="C45" s="10">
        <f>IF($B45="","",IFERROR(INDEX(収穫記録!$C$2:$C$101,MATCH($B45,収穫記録!$A$2:$A$101,0)),""))</f>
        <v/>
      </c>
      <c r="D45" s="8" t="n"/>
      <c r="E45" s="8" t="n"/>
      <c r="F45" s="8" t="n"/>
      <c r="G45" s="12" t="n"/>
      <c r="H45" s="16" t="n"/>
      <c r="I45" s="17" t="n"/>
      <c r="J45" s="18">
        <f>IF($H45="","",ROUNDDOWN($H45*N($I45),0))</f>
        <v/>
      </c>
      <c r="K45" s="16" t="n"/>
      <c r="L45" s="16" t="n"/>
      <c r="M45" s="19">
        <f>IF($H45="","",$H45-N($J45)-N($K45)-N($L45))</f>
        <v/>
      </c>
      <c r="N45" s="18">
        <f>IF(OR($H45="",N($G45)=0),"",$H45/$G45)</f>
        <v/>
      </c>
      <c r="O45" s="8" t="n"/>
      <c r="P45" s="8" t="n"/>
    </row>
    <row r="46">
      <c r="A46" s="9" t="n"/>
      <c r="B46" s="8" t="n"/>
      <c r="C46" s="10">
        <f>IF($B46="","",IFERROR(INDEX(収穫記録!$C$2:$C$101,MATCH($B46,収穫記録!$A$2:$A$101,0)),""))</f>
        <v/>
      </c>
      <c r="D46" s="8" t="n"/>
      <c r="E46" s="8" t="n"/>
      <c r="F46" s="8" t="n"/>
      <c r="G46" s="12" t="n"/>
      <c r="H46" s="16" t="n"/>
      <c r="I46" s="17" t="n"/>
      <c r="J46" s="18">
        <f>IF($H46="","",ROUNDDOWN($H46*N($I46),0))</f>
        <v/>
      </c>
      <c r="K46" s="16" t="n"/>
      <c r="L46" s="16" t="n"/>
      <c r="M46" s="19">
        <f>IF($H46="","",$H46-N($J46)-N($K46)-N($L46))</f>
        <v/>
      </c>
      <c r="N46" s="18">
        <f>IF(OR($H46="",N($G46)=0),"",$H46/$G46)</f>
        <v/>
      </c>
      <c r="O46" s="8" t="n"/>
      <c r="P46" s="8" t="n"/>
    </row>
    <row r="47">
      <c r="A47" s="9" t="n"/>
      <c r="B47" s="8" t="n"/>
      <c r="C47" s="10">
        <f>IF($B47="","",IFERROR(INDEX(収穫記録!$C$2:$C$101,MATCH($B47,収穫記録!$A$2:$A$101,0)),""))</f>
        <v/>
      </c>
      <c r="D47" s="8" t="n"/>
      <c r="E47" s="8" t="n"/>
      <c r="F47" s="8" t="n"/>
      <c r="G47" s="12" t="n"/>
      <c r="H47" s="16" t="n"/>
      <c r="I47" s="17" t="n"/>
      <c r="J47" s="18">
        <f>IF($H47="","",ROUNDDOWN($H47*N($I47),0))</f>
        <v/>
      </c>
      <c r="K47" s="16" t="n"/>
      <c r="L47" s="16" t="n"/>
      <c r="M47" s="19">
        <f>IF($H47="","",$H47-N($J47)-N($K47)-N($L47))</f>
        <v/>
      </c>
      <c r="N47" s="18">
        <f>IF(OR($H47="",N($G47)=0),"",$H47/$G47)</f>
        <v/>
      </c>
      <c r="O47" s="8" t="n"/>
      <c r="P47" s="8" t="n"/>
    </row>
    <row r="48">
      <c r="A48" s="9" t="n"/>
      <c r="B48" s="8" t="n"/>
      <c r="C48" s="10">
        <f>IF($B48="","",IFERROR(INDEX(収穫記録!$C$2:$C$101,MATCH($B48,収穫記録!$A$2:$A$101,0)),""))</f>
        <v/>
      </c>
      <c r="D48" s="8" t="n"/>
      <c r="E48" s="8" t="n"/>
      <c r="F48" s="8" t="n"/>
      <c r="G48" s="12" t="n"/>
      <c r="H48" s="16" t="n"/>
      <c r="I48" s="17" t="n"/>
      <c r="J48" s="18">
        <f>IF($H48="","",ROUNDDOWN($H48*N($I48),0))</f>
        <v/>
      </c>
      <c r="K48" s="16" t="n"/>
      <c r="L48" s="16" t="n"/>
      <c r="M48" s="19">
        <f>IF($H48="","",$H48-N($J48)-N($K48)-N($L48))</f>
        <v/>
      </c>
      <c r="N48" s="18">
        <f>IF(OR($H48="",N($G48)=0),"",$H48/$G48)</f>
        <v/>
      </c>
      <c r="O48" s="8" t="n"/>
      <c r="P48" s="8" t="n"/>
    </row>
    <row r="49">
      <c r="A49" s="9" t="n"/>
      <c r="B49" s="8" t="n"/>
      <c r="C49" s="10">
        <f>IF($B49="","",IFERROR(INDEX(収穫記録!$C$2:$C$101,MATCH($B49,収穫記録!$A$2:$A$101,0)),""))</f>
        <v/>
      </c>
      <c r="D49" s="8" t="n"/>
      <c r="E49" s="8" t="n"/>
      <c r="F49" s="8" t="n"/>
      <c r="G49" s="12" t="n"/>
      <c r="H49" s="16" t="n"/>
      <c r="I49" s="17" t="n"/>
      <c r="J49" s="18">
        <f>IF($H49="","",ROUNDDOWN($H49*N($I49),0))</f>
        <v/>
      </c>
      <c r="K49" s="16" t="n"/>
      <c r="L49" s="16" t="n"/>
      <c r="M49" s="19">
        <f>IF($H49="","",$H49-N($J49)-N($K49)-N($L49))</f>
        <v/>
      </c>
      <c r="N49" s="18">
        <f>IF(OR($H49="",N($G49)=0),"",$H49/$G49)</f>
        <v/>
      </c>
      <c r="O49" s="8" t="n"/>
      <c r="P49" s="8" t="n"/>
    </row>
    <row r="50">
      <c r="A50" s="9" t="n"/>
      <c r="B50" s="8" t="n"/>
      <c r="C50" s="10">
        <f>IF($B50="","",IFERROR(INDEX(収穫記録!$C$2:$C$101,MATCH($B50,収穫記録!$A$2:$A$101,0)),""))</f>
        <v/>
      </c>
      <c r="D50" s="8" t="n"/>
      <c r="E50" s="8" t="n"/>
      <c r="F50" s="8" t="n"/>
      <c r="G50" s="12" t="n"/>
      <c r="H50" s="16" t="n"/>
      <c r="I50" s="17" t="n"/>
      <c r="J50" s="18">
        <f>IF($H50="","",ROUNDDOWN($H50*N($I50),0))</f>
        <v/>
      </c>
      <c r="K50" s="16" t="n"/>
      <c r="L50" s="16" t="n"/>
      <c r="M50" s="19">
        <f>IF($H50="","",$H50-N($J50)-N($K50)-N($L50))</f>
        <v/>
      </c>
      <c r="N50" s="18">
        <f>IF(OR($H50="",N($G50)=0),"",$H50/$G50)</f>
        <v/>
      </c>
      <c r="O50" s="8" t="n"/>
      <c r="P50" s="8" t="n"/>
    </row>
    <row r="51">
      <c r="A51" s="9" t="n"/>
      <c r="B51" s="8" t="n"/>
      <c r="C51" s="10">
        <f>IF($B51="","",IFERROR(INDEX(収穫記録!$C$2:$C$101,MATCH($B51,収穫記録!$A$2:$A$101,0)),""))</f>
        <v/>
      </c>
      <c r="D51" s="8" t="n"/>
      <c r="E51" s="8" t="n"/>
      <c r="F51" s="8" t="n"/>
      <c r="G51" s="12" t="n"/>
      <c r="H51" s="16" t="n"/>
      <c r="I51" s="17" t="n"/>
      <c r="J51" s="18">
        <f>IF($H51="","",ROUNDDOWN($H51*N($I51),0))</f>
        <v/>
      </c>
      <c r="K51" s="16" t="n"/>
      <c r="L51" s="16" t="n"/>
      <c r="M51" s="19">
        <f>IF($H51="","",$H51-N($J51)-N($K51)-N($L51))</f>
        <v/>
      </c>
      <c r="N51" s="18">
        <f>IF(OR($H51="",N($G51)=0),"",$H51/$G51)</f>
        <v/>
      </c>
      <c r="O51" s="8" t="n"/>
      <c r="P51" s="8" t="n"/>
    </row>
    <row r="52">
      <c r="A52" s="9" t="n"/>
      <c r="B52" s="8" t="n"/>
      <c r="C52" s="10">
        <f>IF($B52="","",IFERROR(INDEX(収穫記録!$C$2:$C$101,MATCH($B52,収穫記録!$A$2:$A$101,0)),""))</f>
        <v/>
      </c>
      <c r="D52" s="8" t="n"/>
      <c r="E52" s="8" t="n"/>
      <c r="F52" s="8" t="n"/>
      <c r="G52" s="12" t="n"/>
      <c r="H52" s="16" t="n"/>
      <c r="I52" s="17" t="n"/>
      <c r="J52" s="18">
        <f>IF($H52="","",ROUNDDOWN($H52*N($I52),0))</f>
        <v/>
      </c>
      <c r="K52" s="16" t="n"/>
      <c r="L52" s="16" t="n"/>
      <c r="M52" s="19">
        <f>IF($H52="","",$H52-N($J52)-N($K52)-N($L52))</f>
        <v/>
      </c>
      <c r="N52" s="18">
        <f>IF(OR($H52="",N($G52)=0),"",$H52/$G52)</f>
        <v/>
      </c>
      <c r="O52" s="8" t="n"/>
      <c r="P52" s="8" t="n"/>
    </row>
    <row r="53">
      <c r="A53" s="9" t="n"/>
      <c r="B53" s="8" t="n"/>
      <c r="C53" s="10">
        <f>IF($B53="","",IFERROR(INDEX(収穫記録!$C$2:$C$101,MATCH($B53,収穫記録!$A$2:$A$101,0)),""))</f>
        <v/>
      </c>
      <c r="D53" s="8" t="n"/>
      <c r="E53" s="8" t="n"/>
      <c r="F53" s="8" t="n"/>
      <c r="G53" s="12" t="n"/>
      <c r="H53" s="16" t="n"/>
      <c r="I53" s="17" t="n"/>
      <c r="J53" s="18">
        <f>IF($H53="","",ROUNDDOWN($H53*N($I53),0))</f>
        <v/>
      </c>
      <c r="K53" s="16" t="n"/>
      <c r="L53" s="16" t="n"/>
      <c r="M53" s="19">
        <f>IF($H53="","",$H53-N($J53)-N($K53)-N($L53))</f>
        <v/>
      </c>
      <c r="N53" s="18">
        <f>IF(OR($H53="",N($G53)=0),"",$H53/$G53)</f>
        <v/>
      </c>
      <c r="O53" s="8" t="n"/>
      <c r="P53" s="8" t="n"/>
    </row>
    <row r="54">
      <c r="A54" s="9" t="n"/>
      <c r="B54" s="8" t="n"/>
      <c r="C54" s="10">
        <f>IF($B54="","",IFERROR(INDEX(収穫記録!$C$2:$C$101,MATCH($B54,収穫記録!$A$2:$A$101,0)),""))</f>
        <v/>
      </c>
      <c r="D54" s="8" t="n"/>
      <c r="E54" s="8" t="n"/>
      <c r="F54" s="8" t="n"/>
      <c r="G54" s="12" t="n"/>
      <c r="H54" s="16" t="n"/>
      <c r="I54" s="17" t="n"/>
      <c r="J54" s="18">
        <f>IF($H54="","",ROUNDDOWN($H54*N($I54),0))</f>
        <v/>
      </c>
      <c r="K54" s="16" t="n"/>
      <c r="L54" s="16" t="n"/>
      <c r="M54" s="19">
        <f>IF($H54="","",$H54-N($J54)-N($K54)-N($L54))</f>
        <v/>
      </c>
      <c r="N54" s="18">
        <f>IF(OR($H54="",N($G54)=0),"",$H54/$G54)</f>
        <v/>
      </c>
      <c r="O54" s="8" t="n"/>
      <c r="P54" s="8" t="n"/>
    </row>
    <row r="55">
      <c r="A55" s="9" t="n"/>
      <c r="B55" s="8" t="n"/>
      <c r="C55" s="10">
        <f>IF($B55="","",IFERROR(INDEX(収穫記録!$C$2:$C$101,MATCH($B55,収穫記録!$A$2:$A$101,0)),""))</f>
        <v/>
      </c>
      <c r="D55" s="8" t="n"/>
      <c r="E55" s="8" t="n"/>
      <c r="F55" s="8" t="n"/>
      <c r="G55" s="12" t="n"/>
      <c r="H55" s="16" t="n"/>
      <c r="I55" s="17" t="n"/>
      <c r="J55" s="18">
        <f>IF($H55="","",ROUNDDOWN($H55*N($I55),0))</f>
        <v/>
      </c>
      <c r="K55" s="16" t="n"/>
      <c r="L55" s="16" t="n"/>
      <c r="M55" s="19">
        <f>IF($H55="","",$H55-N($J55)-N($K55)-N($L55))</f>
        <v/>
      </c>
      <c r="N55" s="18">
        <f>IF(OR($H55="",N($G55)=0),"",$H55/$G55)</f>
        <v/>
      </c>
      <c r="O55" s="8" t="n"/>
      <c r="P55" s="8" t="n"/>
    </row>
    <row r="56">
      <c r="A56" s="9" t="n"/>
      <c r="B56" s="8" t="n"/>
      <c r="C56" s="10">
        <f>IF($B56="","",IFERROR(INDEX(収穫記録!$C$2:$C$101,MATCH($B56,収穫記録!$A$2:$A$101,0)),""))</f>
        <v/>
      </c>
      <c r="D56" s="8" t="n"/>
      <c r="E56" s="8" t="n"/>
      <c r="F56" s="8" t="n"/>
      <c r="G56" s="12" t="n"/>
      <c r="H56" s="16" t="n"/>
      <c r="I56" s="17" t="n"/>
      <c r="J56" s="18">
        <f>IF($H56="","",ROUNDDOWN($H56*N($I56),0))</f>
        <v/>
      </c>
      <c r="K56" s="16" t="n"/>
      <c r="L56" s="16" t="n"/>
      <c r="M56" s="19">
        <f>IF($H56="","",$H56-N($J56)-N($K56)-N($L56))</f>
        <v/>
      </c>
      <c r="N56" s="18">
        <f>IF(OR($H56="",N($G56)=0),"",$H56/$G56)</f>
        <v/>
      </c>
      <c r="O56" s="8" t="n"/>
      <c r="P56" s="8" t="n"/>
    </row>
    <row r="57">
      <c r="A57" s="9" t="n"/>
      <c r="B57" s="8" t="n"/>
      <c r="C57" s="10">
        <f>IF($B57="","",IFERROR(INDEX(収穫記録!$C$2:$C$101,MATCH($B57,収穫記録!$A$2:$A$101,0)),""))</f>
        <v/>
      </c>
      <c r="D57" s="8" t="n"/>
      <c r="E57" s="8" t="n"/>
      <c r="F57" s="8" t="n"/>
      <c r="G57" s="12" t="n"/>
      <c r="H57" s="16" t="n"/>
      <c r="I57" s="17" t="n"/>
      <c r="J57" s="18">
        <f>IF($H57="","",ROUNDDOWN($H57*N($I57),0))</f>
        <v/>
      </c>
      <c r="K57" s="16" t="n"/>
      <c r="L57" s="16" t="n"/>
      <c r="M57" s="19">
        <f>IF($H57="","",$H57-N($J57)-N($K57)-N($L57))</f>
        <v/>
      </c>
      <c r="N57" s="18">
        <f>IF(OR($H57="",N($G57)=0),"",$H57/$G57)</f>
        <v/>
      </c>
      <c r="O57" s="8" t="n"/>
      <c r="P57" s="8" t="n"/>
    </row>
    <row r="58">
      <c r="A58" s="9" t="n"/>
      <c r="B58" s="8" t="n"/>
      <c r="C58" s="10">
        <f>IF($B58="","",IFERROR(INDEX(収穫記録!$C$2:$C$101,MATCH($B58,収穫記録!$A$2:$A$101,0)),""))</f>
        <v/>
      </c>
      <c r="D58" s="8" t="n"/>
      <c r="E58" s="8" t="n"/>
      <c r="F58" s="8" t="n"/>
      <c r="G58" s="12" t="n"/>
      <c r="H58" s="16" t="n"/>
      <c r="I58" s="17" t="n"/>
      <c r="J58" s="18">
        <f>IF($H58="","",ROUNDDOWN($H58*N($I58),0))</f>
        <v/>
      </c>
      <c r="K58" s="16" t="n"/>
      <c r="L58" s="16" t="n"/>
      <c r="M58" s="19">
        <f>IF($H58="","",$H58-N($J58)-N($K58)-N($L58))</f>
        <v/>
      </c>
      <c r="N58" s="18">
        <f>IF(OR($H58="",N($G58)=0),"",$H58/$G58)</f>
        <v/>
      </c>
      <c r="O58" s="8" t="n"/>
      <c r="P58" s="8" t="n"/>
    </row>
    <row r="59">
      <c r="A59" s="9" t="n"/>
      <c r="B59" s="8" t="n"/>
      <c r="C59" s="10">
        <f>IF($B59="","",IFERROR(INDEX(収穫記録!$C$2:$C$101,MATCH($B59,収穫記録!$A$2:$A$101,0)),""))</f>
        <v/>
      </c>
      <c r="D59" s="8" t="n"/>
      <c r="E59" s="8" t="n"/>
      <c r="F59" s="8" t="n"/>
      <c r="G59" s="12" t="n"/>
      <c r="H59" s="16" t="n"/>
      <c r="I59" s="17" t="n"/>
      <c r="J59" s="18">
        <f>IF($H59="","",ROUNDDOWN($H59*N($I59),0))</f>
        <v/>
      </c>
      <c r="K59" s="16" t="n"/>
      <c r="L59" s="16" t="n"/>
      <c r="M59" s="19">
        <f>IF($H59="","",$H59-N($J59)-N($K59)-N($L59))</f>
        <v/>
      </c>
      <c r="N59" s="18">
        <f>IF(OR($H59="",N($G59)=0),"",$H59/$G59)</f>
        <v/>
      </c>
      <c r="O59" s="8" t="n"/>
      <c r="P59" s="8" t="n"/>
    </row>
    <row r="60">
      <c r="A60" s="9" t="n"/>
      <c r="B60" s="8" t="n"/>
      <c r="C60" s="10">
        <f>IF($B60="","",IFERROR(INDEX(収穫記録!$C$2:$C$101,MATCH($B60,収穫記録!$A$2:$A$101,0)),""))</f>
        <v/>
      </c>
      <c r="D60" s="8" t="n"/>
      <c r="E60" s="8" t="n"/>
      <c r="F60" s="8" t="n"/>
      <c r="G60" s="12" t="n"/>
      <c r="H60" s="16" t="n"/>
      <c r="I60" s="17" t="n"/>
      <c r="J60" s="18">
        <f>IF($H60="","",ROUNDDOWN($H60*N($I60),0))</f>
        <v/>
      </c>
      <c r="K60" s="16" t="n"/>
      <c r="L60" s="16" t="n"/>
      <c r="M60" s="19">
        <f>IF($H60="","",$H60-N($J60)-N($K60)-N($L60))</f>
        <v/>
      </c>
      <c r="N60" s="18">
        <f>IF(OR($H60="",N($G60)=0),"",$H60/$G60)</f>
        <v/>
      </c>
      <c r="O60" s="8" t="n"/>
      <c r="P60" s="8" t="n"/>
    </row>
    <row r="61">
      <c r="A61" s="9" t="n"/>
      <c r="B61" s="8" t="n"/>
      <c r="C61" s="10">
        <f>IF($B61="","",IFERROR(INDEX(収穫記録!$C$2:$C$101,MATCH($B61,収穫記録!$A$2:$A$101,0)),""))</f>
        <v/>
      </c>
      <c r="D61" s="8" t="n"/>
      <c r="E61" s="8" t="n"/>
      <c r="F61" s="8" t="n"/>
      <c r="G61" s="12" t="n"/>
      <c r="H61" s="16" t="n"/>
      <c r="I61" s="17" t="n"/>
      <c r="J61" s="18">
        <f>IF($H61="","",ROUNDDOWN($H61*N($I61),0))</f>
        <v/>
      </c>
      <c r="K61" s="16" t="n"/>
      <c r="L61" s="16" t="n"/>
      <c r="M61" s="19">
        <f>IF($H61="","",$H61-N($J61)-N($K61)-N($L61))</f>
        <v/>
      </c>
      <c r="N61" s="18">
        <f>IF(OR($H61="",N($G61)=0),"",$H61/$G61)</f>
        <v/>
      </c>
      <c r="O61" s="8" t="n"/>
      <c r="P61" s="8" t="n"/>
    </row>
    <row r="62">
      <c r="A62" s="9" t="n"/>
      <c r="B62" s="8" t="n"/>
      <c r="C62" s="10">
        <f>IF($B62="","",IFERROR(INDEX(収穫記録!$C$2:$C$101,MATCH($B62,収穫記録!$A$2:$A$101,0)),""))</f>
        <v/>
      </c>
      <c r="D62" s="8" t="n"/>
      <c r="E62" s="8" t="n"/>
      <c r="F62" s="8" t="n"/>
      <c r="G62" s="12" t="n"/>
      <c r="H62" s="16" t="n"/>
      <c r="I62" s="17" t="n"/>
      <c r="J62" s="18">
        <f>IF($H62="","",ROUNDDOWN($H62*N($I62),0))</f>
        <v/>
      </c>
      <c r="K62" s="16" t="n"/>
      <c r="L62" s="16" t="n"/>
      <c r="M62" s="19">
        <f>IF($H62="","",$H62-N($J62)-N($K62)-N($L62))</f>
        <v/>
      </c>
      <c r="N62" s="18">
        <f>IF(OR($H62="",N($G62)=0),"",$H62/$G62)</f>
        <v/>
      </c>
      <c r="O62" s="8" t="n"/>
      <c r="P62" s="8" t="n"/>
    </row>
    <row r="63">
      <c r="A63" s="9" t="n"/>
      <c r="B63" s="8" t="n"/>
      <c r="C63" s="10">
        <f>IF($B63="","",IFERROR(INDEX(収穫記録!$C$2:$C$101,MATCH($B63,収穫記録!$A$2:$A$101,0)),""))</f>
        <v/>
      </c>
      <c r="D63" s="8" t="n"/>
      <c r="E63" s="8" t="n"/>
      <c r="F63" s="8" t="n"/>
      <c r="G63" s="12" t="n"/>
      <c r="H63" s="16" t="n"/>
      <c r="I63" s="17" t="n"/>
      <c r="J63" s="18">
        <f>IF($H63="","",ROUNDDOWN($H63*N($I63),0))</f>
        <v/>
      </c>
      <c r="K63" s="16" t="n"/>
      <c r="L63" s="16" t="n"/>
      <c r="M63" s="19">
        <f>IF($H63="","",$H63-N($J63)-N($K63)-N($L63))</f>
        <v/>
      </c>
      <c r="N63" s="18">
        <f>IF(OR($H63="",N($G63)=0),"",$H63/$G63)</f>
        <v/>
      </c>
      <c r="O63" s="8" t="n"/>
      <c r="P63" s="8" t="n"/>
    </row>
    <row r="64">
      <c r="A64" s="9" t="n"/>
      <c r="B64" s="8" t="n"/>
      <c r="C64" s="10">
        <f>IF($B64="","",IFERROR(INDEX(収穫記録!$C$2:$C$101,MATCH($B64,収穫記録!$A$2:$A$101,0)),""))</f>
        <v/>
      </c>
      <c r="D64" s="8" t="n"/>
      <c r="E64" s="8" t="n"/>
      <c r="F64" s="8" t="n"/>
      <c r="G64" s="12" t="n"/>
      <c r="H64" s="16" t="n"/>
      <c r="I64" s="17" t="n"/>
      <c r="J64" s="18">
        <f>IF($H64="","",ROUNDDOWN($H64*N($I64),0))</f>
        <v/>
      </c>
      <c r="K64" s="16" t="n"/>
      <c r="L64" s="16" t="n"/>
      <c r="M64" s="19">
        <f>IF($H64="","",$H64-N($J64)-N($K64)-N($L64))</f>
        <v/>
      </c>
      <c r="N64" s="18">
        <f>IF(OR($H64="",N($G64)=0),"",$H64/$G64)</f>
        <v/>
      </c>
      <c r="O64" s="8" t="n"/>
      <c r="P64" s="8" t="n"/>
    </row>
    <row r="65">
      <c r="A65" s="9" t="n"/>
      <c r="B65" s="8" t="n"/>
      <c r="C65" s="10">
        <f>IF($B65="","",IFERROR(INDEX(収穫記録!$C$2:$C$101,MATCH($B65,収穫記録!$A$2:$A$101,0)),""))</f>
        <v/>
      </c>
      <c r="D65" s="8" t="n"/>
      <c r="E65" s="8" t="n"/>
      <c r="F65" s="8" t="n"/>
      <c r="G65" s="12" t="n"/>
      <c r="H65" s="16" t="n"/>
      <c r="I65" s="17" t="n"/>
      <c r="J65" s="18">
        <f>IF($H65="","",ROUNDDOWN($H65*N($I65),0))</f>
        <v/>
      </c>
      <c r="K65" s="16" t="n"/>
      <c r="L65" s="16" t="n"/>
      <c r="M65" s="19">
        <f>IF($H65="","",$H65-N($J65)-N($K65)-N($L65))</f>
        <v/>
      </c>
      <c r="N65" s="18">
        <f>IF(OR($H65="",N($G65)=0),"",$H65/$G65)</f>
        <v/>
      </c>
      <c r="O65" s="8" t="n"/>
      <c r="P65" s="8" t="n"/>
    </row>
    <row r="66">
      <c r="A66" s="9" t="n"/>
      <c r="B66" s="8" t="n"/>
      <c r="C66" s="10">
        <f>IF($B66="","",IFERROR(INDEX(収穫記録!$C$2:$C$101,MATCH($B66,収穫記録!$A$2:$A$101,0)),""))</f>
        <v/>
      </c>
      <c r="D66" s="8" t="n"/>
      <c r="E66" s="8" t="n"/>
      <c r="F66" s="8" t="n"/>
      <c r="G66" s="12" t="n"/>
      <c r="H66" s="16" t="n"/>
      <c r="I66" s="17" t="n"/>
      <c r="J66" s="18">
        <f>IF($H66="","",ROUNDDOWN($H66*N($I66),0))</f>
        <v/>
      </c>
      <c r="K66" s="16" t="n"/>
      <c r="L66" s="16" t="n"/>
      <c r="M66" s="19">
        <f>IF($H66="","",$H66-N($J66)-N($K66)-N($L66))</f>
        <v/>
      </c>
      <c r="N66" s="18">
        <f>IF(OR($H66="",N($G66)=0),"",$H66/$G66)</f>
        <v/>
      </c>
      <c r="O66" s="8" t="n"/>
      <c r="P66" s="8" t="n"/>
    </row>
    <row r="67">
      <c r="A67" s="9" t="n"/>
      <c r="B67" s="8" t="n"/>
      <c r="C67" s="10">
        <f>IF($B67="","",IFERROR(INDEX(収穫記録!$C$2:$C$101,MATCH($B67,収穫記録!$A$2:$A$101,0)),""))</f>
        <v/>
      </c>
      <c r="D67" s="8" t="n"/>
      <c r="E67" s="8" t="n"/>
      <c r="F67" s="8" t="n"/>
      <c r="G67" s="12" t="n"/>
      <c r="H67" s="16" t="n"/>
      <c r="I67" s="17" t="n"/>
      <c r="J67" s="18">
        <f>IF($H67="","",ROUNDDOWN($H67*N($I67),0))</f>
        <v/>
      </c>
      <c r="K67" s="16" t="n"/>
      <c r="L67" s="16" t="n"/>
      <c r="M67" s="19">
        <f>IF($H67="","",$H67-N($J67)-N($K67)-N($L67))</f>
        <v/>
      </c>
      <c r="N67" s="18">
        <f>IF(OR($H67="",N($G67)=0),"",$H67/$G67)</f>
        <v/>
      </c>
      <c r="O67" s="8" t="n"/>
      <c r="P67" s="8" t="n"/>
    </row>
    <row r="68">
      <c r="A68" s="9" t="n"/>
      <c r="B68" s="8" t="n"/>
      <c r="C68" s="10">
        <f>IF($B68="","",IFERROR(INDEX(収穫記録!$C$2:$C$101,MATCH($B68,収穫記録!$A$2:$A$101,0)),""))</f>
        <v/>
      </c>
      <c r="D68" s="8" t="n"/>
      <c r="E68" s="8" t="n"/>
      <c r="F68" s="8" t="n"/>
      <c r="G68" s="12" t="n"/>
      <c r="H68" s="16" t="n"/>
      <c r="I68" s="17" t="n"/>
      <c r="J68" s="18">
        <f>IF($H68="","",ROUNDDOWN($H68*N($I68),0))</f>
        <v/>
      </c>
      <c r="K68" s="16" t="n"/>
      <c r="L68" s="16" t="n"/>
      <c r="M68" s="19">
        <f>IF($H68="","",$H68-N($J68)-N($K68)-N($L68))</f>
        <v/>
      </c>
      <c r="N68" s="18">
        <f>IF(OR($H68="",N($G68)=0),"",$H68/$G68)</f>
        <v/>
      </c>
      <c r="O68" s="8" t="n"/>
      <c r="P68" s="8" t="n"/>
    </row>
    <row r="69">
      <c r="A69" s="9" t="n"/>
      <c r="B69" s="8" t="n"/>
      <c r="C69" s="10">
        <f>IF($B69="","",IFERROR(INDEX(収穫記録!$C$2:$C$101,MATCH($B69,収穫記録!$A$2:$A$101,0)),""))</f>
        <v/>
      </c>
      <c r="D69" s="8" t="n"/>
      <c r="E69" s="8" t="n"/>
      <c r="F69" s="8" t="n"/>
      <c r="G69" s="12" t="n"/>
      <c r="H69" s="16" t="n"/>
      <c r="I69" s="17" t="n"/>
      <c r="J69" s="18">
        <f>IF($H69="","",ROUNDDOWN($H69*N($I69),0))</f>
        <v/>
      </c>
      <c r="K69" s="16" t="n"/>
      <c r="L69" s="16" t="n"/>
      <c r="M69" s="19">
        <f>IF($H69="","",$H69-N($J69)-N($K69)-N($L69))</f>
        <v/>
      </c>
      <c r="N69" s="18">
        <f>IF(OR($H69="",N($G69)=0),"",$H69/$G69)</f>
        <v/>
      </c>
      <c r="O69" s="8" t="n"/>
      <c r="P69" s="8" t="n"/>
    </row>
    <row r="70">
      <c r="A70" s="9" t="n"/>
      <c r="B70" s="8" t="n"/>
      <c r="C70" s="10">
        <f>IF($B70="","",IFERROR(INDEX(収穫記録!$C$2:$C$101,MATCH($B70,収穫記録!$A$2:$A$101,0)),""))</f>
        <v/>
      </c>
      <c r="D70" s="8" t="n"/>
      <c r="E70" s="8" t="n"/>
      <c r="F70" s="8" t="n"/>
      <c r="G70" s="12" t="n"/>
      <c r="H70" s="16" t="n"/>
      <c r="I70" s="17" t="n"/>
      <c r="J70" s="18">
        <f>IF($H70="","",ROUNDDOWN($H70*N($I70),0))</f>
        <v/>
      </c>
      <c r="K70" s="16" t="n"/>
      <c r="L70" s="16" t="n"/>
      <c r="M70" s="19">
        <f>IF($H70="","",$H70-N($J70)-N($K70)-N($L70))</f>
        <v/>
      </c>
      <c r="N70" s="18">
        <f>IF(OR($H70="",N($G70)=0),"",$H70/$G70)</f>
        <v/>
      </c>
      <c r="O70" s="8" t="n"/>
      <c r="P70" s="8" t="n"/>
    </row>
    <row r="71">
      <c r="A71" s="9" t="n"/>
      <c r="B71" s="8" t="n"/>
      <c r="C71" s="10">
        <f>IF($B71="","",IFERROR(INDEX(収穫記録!$C$2:$C$101,MATCH($B71,収穫記録!$A$2:$A$101,0)),""))</f>
        <v/>
      </c>
      <c r="D71" s="8" t="n"/>
      <c r="E71" s="8" t="n"/>
      <c r="F71" s="8" t="n"/>
      <c r="G71" s="12" t="n"/>
      <c r="H71" s="16" t="n"/>
      <c r="I71" s="17" t="n"/>
      <c r="J71" s="18">
        <f>IF($H71="","",ROUNDDOWN($H71*N($I71),0))</f>
        <v/>
      </c>
      <c r="K71" s="16" t="n"/>
      <c r="L71" s="16" t="n"/>
      <c r="M71" s="19">
        <f>IF($H71="","",$H71-N($J71)-N($K71)-N($L71))</f>
        <v/>
      </c>
      <c r="N71" s="18">
        <f>IF(OR($H71="",N($G71)=0),"",$H71/$G71)</f>
        <v/>
      </c>
      <c r="O71" s="8" t="n"/>
      <c r="P71" s="8" t="n"/>
    </row>
    <row r="72">
      <c r="A72" s="9" t="n"/>
      <c r="B72" s="8" t="n"/>
      <c r="C72" s="10">
        <f>IF($B72="","",IFERROR(INDEX(収穫記録!$C$2:$C$101,MATCH($B72,収穫記録!$A$2:$A$101,0)),""))</f>
        <v/>
      </c>
      <c r="D72" s="8" t="n"/>
      <c r="E72" s="8" t="n"/>
      <c r="F72" s="8" t="n"/>
      <c r="G72" s="12" t="n"/>
      <c r="H72" s="16" t="n"/>
      <c r="I72" s="17" t="n"/>
      <c r="J72" s="18">
        <f>IF($H72="","",ROUNDDOWN($H72*N($I72),0))</f>
        <v/>
      </c>
      <c r="K72" s="16" t="n"/>
      <c r="L72" s="16" t="n"/>
      <c r="M72" s="19">
        <f>IF($H72="","",$H72-N($J72)-N($K72)-N($L72))</f>
        <v/>
      </c>
      <c r="N72" s="18">
        <f>IF(OR($H72="",N($G72)=0),"",$H72/$G72)</f>
        <v/>
      </c>
      <c r="O72" s="8" t="n"/>
      <c r="P72" s="8" t="n"/>
    </row>
    <row r="73">
      <c r="A73" s="9" t="n"/>
      <c r="B73" s="8" t="n"/>
      <c r="C73" s="10">
        <f>IF($B73="","",IFERROR(INDEX(収穫記録!$C$2:$C$101,MATCH($B73,収穫記録!$A$2:$A$101,0)),""))</f>
        <v/>
      </c>
      <c r="D73" s="8" t="n"/>
      <c r="E73" s="8" t="n"/>
      <c r="F73" s="8" t="n"/>
      <c r="G73" s="12" t="n"/>
      <c r="H73" s="16" t="n"/>
      <c r="I73" s="17" t="n"/>
      <c r="J73" s="18">
        <f>IF($H73="","",ROUNDDOWN($H73*N($I73),0))</f>
        <v/>
      </c>
      <c r="K73" s="16" t="n"/>
      <c r="L73" s="16" t="n"/>
      <c r="M73" s="19">
        <f>IF($H73="","",$H73-N($J73)-N($K73)-N($L73))</f>
        <v/>
      </c>
      <c r="N73" s="18">
        <f>IF(OR($H73="",N($G73)=0),"",$H73/$G73)</f>
        <v/>
      </c>
      <c r="O73" s="8" t="n"/>
      <c r="P73" s="8" t="n"/>
    </row>
    <row r="74">
      <c r="A74" s="9" t="n"/>
      <c r="B74" s="8" t="n"/>
      <c r="C74" s="10">
        <f>IF($B74="","",IFERROR(INDEX(収穫記録!$C$2:$C$101,MATCH($B74,収穫記録!$A$2:$A$101,0)),""))</f>
        <v/>
      </c>
      <c r="D74" s="8" t="n"/>
      <c r="E74" s="8" t="n"/>
      <c r="F74" s="8" t="n"/>
      <c r="G74" s="12" t="n"/>
      <c r="H74" s="16" t="n"/>
      <c r="I74" s="17" t="n"/>
      <c r="J74" s="18">
        <f>IF($H74="","",ROUNDDOWN($H74*N($I74),0))</f>
        <v/>
      </c>
      <c r="K74" s="16" t="n"/>
      <c r="L74" s="16" t="n"/>
      <c r="M74" s="19">
        <f>IF($H74="","",$H74-N($J74)-N($K74)-N($L74))</f>
        <v/>
      </c>
      <c r="N74" s="18">
        <f>IF(OR($H74="",N($G74)=0),"",$H74/$G74)</f>
        <v/>
      </c>
      <c r="O74" s="8" t="n"/>
      <c r="P74" s="8" t="n"/>
    </row>
    <row r="75">
      <c r="A75" s="9" t="n"/>
      <c r="B75" s="8" t="n"/>
      <c r="C75" s="10">
        <f>IF($B75="","",IFERROR(INDEX(収穫記録!$C$2:$C$101,MATCH($B75,収穫記録!$A$2:$A$101,0)),""))</f>
        <v/>
      </c>
      <c r="D75" s="8" t="n"/>
      <c r="E75" s="8" t="n"/>
      <c r="F75" s="8" t="n"/>
      <c r="G75" s="12" t="n"/>
      <c r="H75" s="16" t="n"/>
      <c r="I75" s="17" t="n"/>
      <c r="J75" s="18">
        <f>IF($H75="","",ROUNDDOWN($H75*N($I75),0))</f>
        <v/>
      </c>
      <c r="K75" s="16" t="n"/>
      <c r="L75" s="16" t="n"/>
      <c r="M75" s="19">
        <f>IF($H75="","",$H75-N($J75)-N($K75)-N($L75))</f>
        <v/>
      </c>
      <c r="N75" s="18">
        <f>IF(OR($H75="",N($G75)=0),"",$H75/$G75)</f>
        <v/>
      </c>
      <c r="O75" s="8" t="n"/>
      <c r="P75" s="8" t="n"/>
    </row>
    <row r="76">
      <c r="A76" s="9" t="n"/>
      <c r="B76" s="8" t="n"/>
      <c r="C76" s="10">
        <f>IF($B76="","",IFERROR(INDEX(収穫記録!$C$2:$C$101,MATCH($B76,収穫記録!$A$2:$A$101,0)),""))</f>
        <v/>
      </c>
      <c r="D76" s="8" t="n"/>
      <c r="E76" s="8" t="n"/>
      <c r="F76" s="8" t="n"/>
      <c r="G76" s="12" t="n"/>
      <c r="H76" s="16" t="n"/>
      <c r="I76" s="17" t="n"/>
      <c r="J76" s="18">
        <f>IF($H76="","",ROUNDDOWN($H76*N($I76),0))</f>
        <v/>
      </c>
      <c r="K76" s="16" t="n"/>
      <c r="L76" s="16" t="n"/>
      <c r="M76" s="19">
        <f>IF($H76="","",$H76-N($J76)-N($K76)-N($L76))</f>
        <v/>
      </c>
      <c r="N76" s="18">
        <f>IF(OR($H76="",N($G76)=0),"",$H76/$G76)</f>
        <v/>
      </c>
      <c r="O76" s="8" t="n"/>
      <c r="P76" s="8" t="n"/>
    </row>
    <row r="77">
      <c r="A77" s="9" t="n"/>
      <c r="B77" s="8" t="n"/>
      <c r="C77" s="10">
        <f>IF($B77="","",IFERROR(INDEX(収穫記録!$C$2:$C$101,MATCH($B77,収穫記録!$A$2:$A$101,0)),""))</f>
        <v/>
      </c>
      <c r="D77" s="8" t="n"/>
      <c r="E77" s="8" t="n"/>
      <c r="F77" s="8" t="n"/>
      <c r="G77" s="12" t="n"/>
      <c r="H77" s="16" t="n"/>
      <c r="I77" s="17" t="n"/>
      <c r="J77" s="18">
        <f>IF($H77="","",ROUNDDOWN($H77*N($I77),0))</f>
        <v/>
      </c>
      <c r="K77" s="16" t="n"/>
      <c r="L77" s="16" t="n"/>
      <c r="M77" s="19">
        <f>IF($H77="","",$H77-N($J77)-N($K77)-N($L77))</f>
        <v/>
      </c>
      <c r="N77" s="18">
        <f>IF(OR($H77="",N($G77)=0),"",$H77/$G77)</f>
        <v/>
      </c>
      <c r="O77" s="8" t="n"/>
      <c r="P77" s="8" t="n"/>
    </row>
    <row r="78">
      <c r="A78" s="9" t="n"/>
      <c r="B78" s="8" t="n"/>
      <c r="C78" s="10">
        <f>IF($B78="","",IFERROR(INDEX(収穫記録!$C$2:$C$101,MATCH($B78,収穫記録!$A$2:$A$101,0)),""))</f>
        <v/>
      </c>
      <c r="D78" s="8" t="n"/>
      <c r="E78" s="8" t="n"/>
      <c r="F78" s="8" t="n"/>
      <c r="G78" s="12" t="n"/>
      <c r="H78" s="16" t="n"/>
      <c r="I78" s="17" t="n"/>
      <c r="J78" s="18">
        <f>IF($H78="","",ROUNDDOWN($H78*N($I78),0))</f>
        <v/>
      </c>
      <c r="K78" s="16" t="n"/>
      <c r="L78" s="16" t="n"/>
      <c r="M78" s="19">
        <f>IF($H78="","",$H78-N($J78)-N($K78)-N($L78))</f>
        <v/>
      </c>
      <c r="N78" s="18">
        <f>IF(OR($H78="",N($G78)=0),"",$H78/$G78)</f>
        <v/>
      </c>
      <c r="O78" s="8" t="n"/>
      <c r="P78" s="8" t="n"/>
    </row>
    <row r="79">
      <c r="A79" s="9" t="n"/>
      <c r="B79" s="8" t="n"/>
      <c r="C79" s="10">
        <f>IF($B79="","",IFERROR(INDEX(収穫記録!$C$2:$C$101,MATCH($B79,収穫記録!$A$2:$A$101,0)),""))</f>
        <v/>
      </c>
      <c r="D79" s="8" t="n"/>
      <c r="E79" s="8" t="n"/>
      <c r="F79" s="8" t="n"/>
      <c r="G79" s="12" t="n"/>
      <c r="H79" s="16" t="n"/>
      <c r="I79" s="17" t="n"/>
      <c r="J79" s="18">
        <f>IF($H79="","",ROUNDDOWN($H79*N($I79),0))</f>
        <v/>
      </c>
      <c r="K79" s="16" t="n"/>
      <c r="L79" s="16" t="n"/>
      <c r="M79" s="19">
        <f>IF($H79="","",$H79-N($J79)-N($K79)-N($L79))</f>
        <v/>
      </c>
      <c r="N79" s="18">
        <f>IF(OR($H79="",N($G79)=0),"",$H79/$G79)</f>
        <v/>
      </c>
      <c r="O79" s="8" t="n"/>
      <c r="P79" s="8" t="n"/>
    </row>
    <row r="80">
      <c r="A80" s="9" t="n"/>
      <c r="B80" s="8" t="n"/>
      <c r="C80" s="10">
        <f>IF($B80="","",IFERROR(INDEX(収穫記録!$C$2:$C$101,MATCH($B80,収穫記録!$A$2:$A$101,0)),""))</f>
        <v/>
      </c>
      <c r="D80" s="8" t="n"/>
      <c r="E80" s="8" t="n"/>
      <c r="F80" s="8" t="n"/>
      <c r="G80" s="12" t="n"/>
      <c r="H80" s="16" t="n"/>
      <c r="I80" s="17" t="n"/>
      <c r="J80" s="18">
        <f>IF($H80="","",ROUNDDOWN($H80*N($I80),0))</f>
        <v/>
      </c>
      <c r="K80" s="16" t="n"/>
      <c r="L80" s="16" t="n"/>
      <c r="M80" s="19">
        <f>IF($H80="","",$H80-N($J80)-N($K80)-N($L80))</f>
        <v/>
      </c>
      <c r="N80" s="18">
        <f>IF(OR($H80="",N($G80)=0),"",$H80/$G80)</f>
        <v/>
      </c>
      <c r="O80" s="8" t="n"/>
      <c r="P80" s="8" t="n"/>
    </row>
    <row r="81">
      <c r="A81" s="9" t="n"/>
      <c r="B81" s="8" t="n"/>
      <c r="C81" s="10">
        <f>IF($B81="","",IFERROR(INDEX(収穫記録!$C$2:$C$101,MATCH($B81,収穫記録!$A$2:$A$101,0)),""))</f>
        <v/>
      </c>
      <c r="D81" s="8" t="n"/>
      <c r="E81" s="8" t="n"/>
      <c r="F81" s="8" t="n"/>
      <c r="G81" s="12" t="n"/>
      <c r="H81" s="16" t="n"/>
      <c r="I81" s="17" t="n"/>
      <c r="J81" s="18">
        <f>IF($H81="","",ROUNDDOWN($H81*N($I81),0))</f>
        <v/>
      </c>
      <c r="K81" s="16" t="n"/>
      <c r="L81" s="16" t="n"/>
      <c r="M81" s="19">
        <f>IF($H81="","",$H81-N($J81)-N($K81)-N($L81))</f>
        <v/>
      </c>
      <c r="N81" s="18">
        <f>IF(OR($H81="",N($G81)=0),"",$H81/$G81)</f>
        <v/>
      </c>
      <c r="O81" s="8" t="n"/>
      <c r="P81" s="8" t="n"/>
    </row>
    <row r="82">
      <c r="A82" s="9" t="n"/>
      <c r="B82" s="8" t="n"/>
      <c r="C82" s="10">
        <f>IF($B82="","",IFERROR(INDEX(収穫記録!$C$2:$C$101,MATCH($B82,収穫記録!$A$2:$A$101,0)),""))</f>
        <v/>
      </c>
      <c r="D82" s="8" t="n"/>
      <c r="E82" s="8" t="n"/>
      <c r="F82" s="8" t="n"/>
      <c r="G82" s="12" t="n"/>
      <c r="H82" s="16" t="n"/>
      <c r="I82" s="17" t="n"/>
      <c r="J82" s="18">
        <f>IF($H82="","",ROUNDDOWN($H82*N($I82),0))</f>
        <v/>
      </c>
      <c r="K82" s="16" t="n"/>
      <c r="L82" s="16" t="n"/>
      <c r="M82" s="19">
        <f>IF($H82="","",$H82-N($J82)-N($K82)-N($L82))</f>
        <v/>
      </c>
      <c r="N82" s="18">
        <f>IF(OR($H82="",N($G82)=0),"",$H82/$G82)</f>
        <v/>
      </c>
      <c r="O82" s="8" t="n"/>
      <c r="P82" s="8" t="n"/>
    </row>
    <row r="83">
      <c r="A83" s="9" t="n"/>
      <c r="B83" s="8" t="n"/>
      <c r="C83" s="10">
        <f>IF($B83="","",IFERROR(INDEX(収穫記録!$C$2:$C$101,MATCH($B83,収穫記録!$A$2:$A$101,0)),""))</f>
        <v/>
      </c>
      <c r="D83" s="8" t="n"/>
      <c r="E83" s="8" t="n"/>
      <c r="F83" s="8" t="n"/>
      <c r="G83" s="12" t="n"/>
      <c r="H83" s="16" t="n"/>
      <c r="I83" s="17" t="n"/>
      <c r="J83" s="18">
        <f>IF($H83="","",ROUNDDOWN($H83*N($I83),0))</f>
        <v/>
      </c>
      <c r="K83" s="16" t="n"/>
      <c r="L83" s="16" t="n"/>
      <c r="M83" s="19">
        <f>IF($H83="","",$H83-N($J83)-N($K83)-N($L83))</f>
        <v/>
      </c>
      <c r="N83" s="18">
        <f>IF(OR($H83="",N($G83)=0),"",$H83/$G83)</f>
        <v/>
      </c>
      <c r="O83" s="8" t="n"/>
      <c r="P83" s="8" t="n"/>
    </row>
    <row r="84">
      <c r="A84" s="9" t="n"/>
      <c r="B84" s="8" t="n"/>
      <c r="C84" s="10">
        <f>IF($B84="","",IFERROR(INDEX(収穫記録!$C$2:$C$101,MATCH($B84,収穫記録!$A$2:$A$101,0)),""))</f>
        <v/>
      </c>
      <c r="D84" s="8" t="n"/>
      <c r="E84" s="8" t="n"/>
      <c r="F84" s="8" t="n"/>
      <c r="G84" s="12" t="n"/>
      <c r="H84" s="16" t="n"/>
      <c r="I84" s="17" t="n"/>
      <c r="J84" s="18">
        <f>IF($H84="","",ROUNDDOWN($H84*N($I84),0))</f>
        <v/>
      </c>
      <c r="K84" s="16" t="n"/>
      <c r="L84" s="16" t="n"/>
      <c r="M84" s="19">
        <f>IF($H84="","",$H84-N($J84)-N($K84)-N($L84))</f>
        <v/>
      </c>
      <c r="N84" s="18">
        <f>IF(OR($H84="",N($G84)=0),"",$H84/$G84)</f>
        <v/>
      </c>
      <c r="O84" s="8" t="n"/>
      <c r="P84" s="8" t="n"/>
    </row>
    <row r="85">
      <c r="A85" s="9" t="n"/>
      <c r="B85" s="8" t="n"/>
      <c r="C85" s="10">
        <f>IF($B85="","",IFERROR(INDEX(収穫記録!$C$2:$C$101,MATCH($B85,収穫記録!$A$2:$A$101,0)),""))</f>
        <v/>
      </c>
      <c r="D85" s="8" t="n"/>
      <c r="E85" s="8" t="n"/>
      <c r="F85" s="8" t="n"/>
      <c r="G85" s="12" t="n"/>
      <c r="H85" s="16" t="n"/>
      <c r="I85" s="17" t="n"/>
      <c r="J85" s="18">
        <f>IF($H85="","",ROUNDDOWN($H85*N($I85),0))</f>
        <v/>
      </c>
      <c r="K85" s="16" t="n"/>
      <c r="L85" s="16" t="n"/>
      <c r="M85" s="19">
        <f>IF($H85="","",$H85-N($J85)-N($K85)-N($L85))</f>
        <v/>
      </c>
      <c r="N85" s="18">
        <f>IF(OR($H85="",N($G85)=0),"",$H85/$G85)</f>
        <v/>
      </c>
      <c r="O85" s="8" t="n"/>
      <c r="P85" s="8" t="n"/>
    </row>
    <row r="86">
      <c r="A86" s="9" t="n"/>
      <c r="B86" s="8" t="n"/>
      <c r="C86" s="10">
        <f>IF($B86="","",IFERROR(INDEX(収穫記録!$C$2:$C$101,MATCH($B86,収穫記録!$A$2:$A$101,0)),""))</f>
        <v/>
      </c>
      <c r="D86" s="8" t="n"/>
      <c r="E86" s="8" t="n"/>
      <c r="F86" s="8" t="n"/>
      <c r="G86" s="12" t="n"/>
      <c r="H86" s="16" t="n"/>
      <c r="I86" s="17" t="n"/>
      <c r="J86" s="18">
        <f>IF($H86="","",ROUNDDOWN($H86*N($I86),0))</f>
        <v/>
      </c>
      <c r="K86" s="16" t="n"/>
      <c r="L86" s="16" t="n"/>
      <c r="M86" s="19">
        <f>IF($H86="","",$H86-N($J86)-N($K86)-N($L86))</f>
        <v/>
      </c>
      <c r="N86" s="18">
        <f>IF(OR($H86="",N($G86)=0),"",$H86/$G86)</f>
        <v/>
      </c>
      <c r="O86" s="8" t="n"/>
      <c r="P86" s="8" t="n"/>
    </row>
    <row r="87">
      <c r="A87" s="9" t="n"/>
      <c r="B87" s="8" t="n"/>
      <c r="C87" s="10">
        <f>IF($B87="","",IFERROR(INDEX(収穫記録!$C$2:$C$101,MATCH($B87,収穫記録!$A$2:$A$101,0)),""))</f>
        <v/>
      </c>
      <c r="D87" s="8" t="n"/>
      <c r="E87" s="8" t="n"/>
      <c r="F87" s="8" t="n"/>
      <c r="G87" s="12" t="n"/>
      <c r="H87" s="16" t="n"/>
      <c r="I87" s="17" t="n"/>
      <c r="J87" s="18">
        <f>IF($H87="","",ROUNDDOWN($H87*N($I87),0))</f>
        <v/>
      </c>
      <c r="K87" s="16" t="n"/>
      <c r="L87" s="16" t="n"/>
      <c r="M87" s="19">
        <f>IF($H87="","",$H87-N($J87)-N($K87)-N($L87))</f>
        <v/>
      </c>
      <c r="N87" s="18">
        <f>IF(OR($H87="",N($G87)=0),"",$H87/$G87)</f>
        <v/>
      </c>
      <c r="O87" s="8" t="n"/>
      <c r="P87" s="8" t="n"/>
    </row>
    <row r="88">
      <c r="A88" s="9" t="n"/>
      <c r="B88" s="8" t="n"/>
      <c r="C88" s="10">
        <f>IF($B88="","",IFERROR(INDEX(収穫記録!$C$2:$C$101,MATCH($B88,収穫記録!$A$2:$A$101,0)),""))</f>
        <v/>
      </c>
      <c r="D88" s="8" t="n"/>
      <c r="E88" s="8" t="n"/>
      <c r="F88" s="8" t="n"/>
      <c r="G88" s="12" t="n"/>
      <c r="H88" s="16" t="n"/>
      <c r="I88" s="17" t="n"/>
      <c r="J88" s="18">
        <f>IF($H88="","",ROUNDDOWN($H88*N($I88),0))</f>
        <v/>
      </c>
      <c r="K88" s="16" t="n"/>
      <c r="L88" s="16" t="n"/>
      <c r="M88" s="19">
        <f>IF($H88="","",$H88-N($J88)-N($K88)-N($L88))</f>
        <v/>
      </c>
      <c r="N88" s="18">
        <f>IF(OR($H88="",N($G88)=0),"",$H88/$G88)</f>
        <v/>
      </c>
      <c r="O88" s="8" t="n"/>
      <c r="P88" s="8" t="n"/>
    </row>
    <row r="89">
      <c r="A89" s="9" t="n"/>
      <c r="B89" s="8" t="n"/>
      <c r="C89" s="10">
        <f>IF($B89="","",IFERROR(INDEX(収穫記録!$C$2:$C$101,MATCH($B89,収穫記録!$A$2:$A$101,0)),""))</f>
        <v/>
      </c>
      <c r="D89" s="8" t="n"/>
      <c r="E89" s="8" t="n"/>
      <c r="F89" s="8" t="n"/>
      <c r="G89" s="12" t="n"/>
      <c r="H89" s="16" t="n"/>
      <c r="I89" s="17" t="n"/>
      <c r="J89" s="18">
        <f>IF($H89="","",ROUNDDOWN($H89*N($I89),0))</f>
        <v/>
      </c>
      <c r="K89" s="16" t="n"/>
      <c r="L89" s="16" t="n"/>
      <c r="M89" s="19">
        <f>IF($H89="","",$H89-N($J89)-N($K89)-N($L89))</f>
        <v/>
      </c>
      <c r="N89" s="18">
        <f>IF(OR($H89="",N($G89)=0),"",$H89/$G89)</f>
        <v/>
      </c>
      <c r="O89" s="8" t="n"/>
      <c r="P89" s="8" t="n"/>
    </row>
    <row r="90">
      <c r="A90" s="9" t="n"/>
      <c r="B90" s="8" t="n"/>
      <c r="C90" s="10">
        <f>IF($B90="","",IFERROR(INDEX(収穫記録!$C$2:$C$101,MATCH($B90,収穫記録!$A$2:$A$101,0)),""))</f>
        <v/>
      </c>
      <c r="D90" s="8" t="n"/>
      <c r="E90" s="8" t="n"/>
      <c r="F90" s="8" t="n"/>
      <c r="G90" s="12" t="n"/>
      <c r="H90" s="16" t="n"/>
      <c r="I90" s="17" t="n"/>
      <c r="J90" s="18">
        <f>IF($H90="","",ROUNDDOWN($H90*N($I90),0))</f>
        <v/>
      </c>
      <c r="K90" s="16" t="n"/>
      <c r="L90" s="16" t="n"/>
      <c r="M90" s="19">
        <f>IF($H90="","",$H90-N($J90)-N($K90)-N($L90))</f>
        <v/>
      </c>
      <c r="N90" s="18">
        <f>IF(OR($H90="",N($G90)=0),"",$H90/$G90)</f>
        <v/>
      </c>
      <c r="O90" s="8" t="n"/>
      <c r="P90" s="8" t="n"/>
    </row>
    <row r="91">
      <c r="A91" s="9" t="n"/>
      <c r="B91" s="8" t="n"/>
      <c r="C91" s="10">
        <f>IF($B91="","",IFERROR(INDEX(収穫記録!$C$2:$C$101,MATCH($B91,収穫記録!$A$2:$A$101,0)),""))</f>
        <v/>
      </c>
      <c r="D91" s="8" t="n"/>
      <c r="E91" s="8" t="n"/>
      <c r="F91" s="8" t="n"/>
      <c r="G91" s="12" t="n"/>
      <c r="H91" s="16" t="n"/>
      <c r="I91" s="17" t="n"/>
      <c r="J91" s="18">
        <f>IF($H91="","",ROUNDDOWN($H91*N($I91),0))</f>
        <v/>
      </c>
      <c r="K91" s="16" t="n"/>
      <c r="L91" s="16" t="n"/>
      <c r="M91" s="19">
        <f>IF($H91="","",$H91-N($J91)-N($K91)-N($L91))</f>
        <v/>
      </c>
      <c r="N91" s="18">
        <f>IF(OR($H91="",N($G91)=0),"",$H91/$G91)</f>
        <v/>
      </c>
      <c r="O91" s="8" t="n"/>
      <c r="P91" s="8" t="n"/>
    </row>
    <row r="92">
      <c r="A92" s="9" t="n"/>
      <c r="B92" s="8" t="n"/>
      <c r="C92" s="10">
        <f>IF($B92="","",IFERROR(INDEX(収穫記録!$C$2:$C$101,MATCH($B92,収穫記録!$A$2:$A$101,0)),""))</f>
        <v/>
      </c>
      <c r="D92" s="8" t="n"/>
      <c r="E92" s="8" t="n"/>
      <c r="F92" s="8" t="n"/>
      <c r="G92" s="12" t="n"/>
      <c r="H92" s="16" t="n"/>
      <c r="I92" s="17" t="n"/>
      <c r="J92" s="18">
        <f>IF($H92="","",ROUNDDOWN($H92*N($I92),0))</f>
        <v/>
      </c>
      <c r="K92" s="16" t="n"/>
      <c r="L92" s="16" t="n"/>
      <c r="M92" s="19">
        <f>IF($H92="","",$H92-N($J92)-N($K92)-N($L92))</f>
        <v/>
      </c>
      <c r="N92" s="18">
        <f>IF(OR($H92="",N($G92)=0),"",$H92/$G92)</f>
        <v/>
      </c>
      <c r="O92" s="8" t="n"/>
      <c r="P92" s="8" t="n"/>
    </row>
    <row r="93">
      <c r="A93" s="9" t="n"/>
      <c r="B93" s="8" t="n"/>
      <c r="C93" s="10">
        <f>IF($B93="","",IFERROR(INDEX(収穫記録!$C$2:$C$101,MATCH($B93,収穫記録!$A$2:$A$101,0)),""))</f>
        <v/>
      </c>
      <c r="D93" s="8" t="n"/>
      <c r="E93" s="8" t="n"/>
      <c r="F93" s="8" t="n"/>
      <c r="G93" s="12" t="n"/>
      <c r="H93" s="16" t="n"/>
      <c r="I93" s="17" t="n"/>
      <c r="J93" s="18">
        <f>IF($H93="","",ROUNDDOWN($H93*N($I93),0))</f>
        <v/>
      </c>
      <c r="K93" s="16" t="n"/>
      <c r="L93" s="16" t="n"/>
      <c r="M93" s="19">
        <f>IF($H93="","",$H93-N($J93)-N($K93)-N($L93))</f>
        <v/>
      </c>
      <c r="N93" s="18">
        <f>IF(OR($H93="",N($G93)=0),"",$H93/$G93)</f>
        <v/>
      </c>
      <c r="O93" s="8" t="n"/>
      <c r="P93" s="8" t="n"/>
    </row>
    <row r="94">
      <c r="A94" s="9" t="n"/>
      <c r="B94" s="8" t="n"/>
      <c r="C94" s="10">
        <f>IF($B94="","",IFERROR(INDEX(収穫記録!$C$2:$C$101,MATCH($B94,収穫記録!$A$2:$A$101,0)),""))</f>
        <v/>
      </c>
      <c r="D94" s="8" t="n"/>
      <c r="E94" s="8" t="n"/>
      <c r="F94" s="8" t="n"/>
      <c r="G94" s="12" t="n"/>
      <c r="H94" s="16" t="n"/>
      <c r="I94" s="17" t="n"/>
      <c r="J94" s="18">
        <f>IF($H94="","",ROUNDDOWN($H94*N($I94),0))</f>
        <v/>
      </c>
      <c r="K94" s="16" t="n"/>
      <c r="L94" s="16" t="n"/>
      <c r="M94" s="19">
        <f>IF($H94="","",$H94-N($J94)-N($K94)-N($L94))</f>
        <v/>
      </c>
      <c r="N94" s="18">
        <f>IF(OR($H94="",N($G94)=0),"",$H94/$G94)</f>
        <v/>
      </c>
      <c r="O94" s="8" t="n"/>
      <c r="P94" s="8" t="n"/>
    </row>
    <row r="95">
      <c r="A95" s="9" t="n"/>
      <c r="B95" s="8" t="n"/>
      <c r="C95" s="10">
        <f>IF($B95="","",IFERROR(INDEX(収穫記録!$C$2:$C$101,MATCH($B95,収穫記録!$A$2:$A$101,0)),""))</f>
        <v/>
      </c>
      <c r="D95" s="8" t="n"/>
      <c r="E95" s="8" t="n"/>
      <c r="F95" s="8" t="n"/>
      <c r="G95" s="12" t="n"/>
      <c r="H95" s="16" t="n"/>
      <c r="I95" s="17" t="n"/>
      <c r="J95" s="18">
        <f>IF($H95="","",ROUNDDOWN($H95*N($I95),0))</f>
        <v/>
      </c>
      <c r="K95" s="16" t="n"/>
      <c r="L95" s="16" t="n"/>
      <c r="M95" s="19">
        <f>IF($H95="","",$H95-N($J95)-N($K95)-N($L95))</f>
        <v/>
      </c>
      <c r="N95" s="18">
        <f>IF(OR($H95="",N($G95)=0),"",$H95/$G95)</f>
        <v/>
      </c>
      <c r="O95" s="8" t="n"/>
      <c r="P95" s="8" t="n"/>
    </row>
    <row r="96">
      <c r="A96" s="9" t="n"/>
      <c r="B96" s="8" t="n"/>
      <c r="C96" s="10">
        <f>IF($B96="","",IFERROR(INDEX(収穫記録!$C$2:$C$101,MATCH($B96,収穫記録!$A$2:$A$101,0)),""))</f>
        <v/>
      </c>
      <c r="D96" s="8" t="n"/>
      <c r="E96" s="8" t="n"/>
      <c r="F96" s="8" t="n"/>
      <c r="G96" s="12" t="n"/>
      <c r="H96" s="16" t="n"/>
      <c r="I96" s="17" t="n"/>
      <c r="J96" s="18">
        <f>IF($H96="","",ROUNDDOWN($H96*N($I96),0))</f>
        <v/>
      </c>
      <c r="K96" s="16" t="n"/>
      <c r="L96" s="16" t="n"/>
      <c r="M96" s="19">
        <f>IF($H96="","",$H96-N($J96)-N($K96)-N($L96))</f>
        <v/>
      </c>
      <c r="N96" s="18">
        <f>IF(OR($H96="",N($G96)=0),"",$H96/$G96)</f>
        <v/>
      </c>
      <c r="O96" s="8" t="n"/>
      <c r="P96" s="8" t="n"/>
    </row>
    <row r="97">
      <c r="A97" s="9" t="n"/>
      <c r="B97" s="8" t="n"/>
      <c r="C97" s="10">
        <f>IF($B97="","",IFERROR(INDEX(収穫記録!$C$2:$C$101,MATCH($B97,収穫記録!$A$2:$A$101,0)),""))</f>
        <v/>
      </c>
      <c r="D97" s="8" t="n"/>
      <c r="E97" s="8" t="n"/>
      <c r="F97" s="8" t="n"/>
      <c r="G97" s="12" t="n"/>
      <c r="H97" s="16" t="n"/>
      <c r="I97" s="17" t="n"/>
      <c r="J97" s="18">
        <f>IF($H97="","",ROUNDDOWN($H97*N($I97),0))</f>
        <v/>
      </c>
      <c r="K97" s="16" t="n"/>
      <c r="L97" s="16" t="n"/>
      <c r="M97" s="19">
        <f>IF($H97="","",$H97-N($J97)-N($K97)-N($L97))</f>
        <v/>
      </c>
      <c r="N97" s="18">
        <f>IF(OR($H97="",N($G97)=0),"",$H97/$G97)</f>
        <v/>
      </c>
      <c r="O97" s="8" t="n"/>
      <c r="P97" s="8" t="n"/>
    </row>
    <row r="98">
      <c r="A98" s="9" t="n"/>
      <c r="B98" s="8" t="n"/>
      <c r="C98" s="10">
        <f>IF($B98="","",IFERROR(INDEX(収穫記録!$C$2:$C$101,MATCH($B98,収穫記録!$A$2:$A$101,0)),""))</f>
        <v/>
      </c>
      <c r="D98" s="8" t="n"/>
      <c r="E98" s="8" t="n"/>
      <c r="F98" s="8" t="n"/>
      <c r="G98" s="12" t="n"/>
      <c r="H98" s="16" t="n"/>
      <c r="I98" s="17" t="n"/>
      <c r="J98" s="18">
        <f>IF($H98="","",ROUNDDOWN($H98*N($I98),0))</f>
        <v/>
      </c>
      <c r="K98" s="16" t="n"/>
      <c r="L98" s="16" t="n"/>
      <c r="M98" s="19">
        <f>IF($H98="","",$H98-N($J98)-N($K98)-N($L98))</f>
        <v/>
      </c>
      <c r="N98" s="18">
        <f>IF(OR($H98="",N($G98)=0),"",$H98/$G98)</f>
        <v/>
      </c>
      <c r="O98" s="8" t="n"/>
      <c r="P98" s="8" t="n"/>
    </row>
    <row r="99">
      <c r="A99" s="9" t="n"/>
      <c r="B99" s="8" t="n"/>
      <c r="C99" s="10">
        <f>IF($B99="","",IFERROR(INDEX(収穫記録!$C$2:$C$101,MATCH($B99,収穫記録!$A$2:$A$101,0)),""))</f>
        <v/>
      </c>
      <c r="D99" s="8" t="n"/>
      <c r="E99" s="8" t="n"/>
      <c r="F99" s="8" t="n"/>
      <c r="G99" s="12" t="n"/>
      <c r="H99" s="16" t="n"/>
      <c r="I99" s="17" t="n"/>
      <c r="J99" s="18">
        <f>IF($H99="","",ROUNDDOWN($H99*N($I99),0))</f>
        <v/>
      </c>
      <c r="K99" s="16" t="n"/>
      <c r="L99" s="16" t="n"/>
      <c r="M99" s="19">
        <f>IF($H99="","",$H99-N($J99)-N($K99)-N($L99))</f>
        <v/>
      </c>
      <c r="N99" s="18">
        <f>IF(OR($H99="",N($G99)=0),"",$H99/$G99)</f>
        <v/>
      </c>
      <c r="O99" s="8" t="n"/>
      <c r="P99" s="8" t="n"/>
    </row>
    <row r="100">
      <c r="A100" s="9" t="n"/>
      <c r="B100" s="8" t="n"/>
      <c r="C100" s="10">
        <f>IF($B100="","",IFERROR(INDEX(収穫記録!$C$2:$C$101,MATCH($B100,収穫記録!$A$2:$A$101,0)),""))</f>
        <v/>
      </c>
      <c r="D100" s="8" t="n"/>
      <c r="E100" s="8" t="n"/>
      <c r="F100" s="8" t="n"/>
      <c r="G100" s="12" t="n"/>
      <c r="H100" s="16" t="n"/>
      <c r="I100" s="17" t="n"/>
      <c r="J100" s="18">
        <f>IF($H100="","",ROUNDDOWN($H100*N($I100),0))</f>
        <v/>
      </c>
      <c r="K100" s="16" t="n"/>
      <c r="L100" s="16" t="n"/>
      <c r="M100" s="19">
        <f>IF($H100="","",$H100-N($J100)-N($K100)-N($L100))</f>
        <v/>
      </c>
      <c r="N100" s="18">
        <f>IF(OR($H100="",N($G100)=0),"",$H100/$G100)</f>
        <v/>
      </c>
      <c r="O100" s="8" t="n"/>
      <c r="P100" s="8" t="n"/>
    </row>
    <row r="101">
      <c r="A101" s="9" t="n"/>
      <c r="B101" s="8" t="n"/>
      <c r="C101" s="10">
        <f>IF($B101="","",IFERROR(INDEX(収穫記録!$C$2:$C$101,MATCH($B101,収穫記録!$A$2:$A$101,0)),""))</f>
        <v/>
      </c>
      <c r="D101" s="8" t="n"/>
      <c r="E101" s="8" t="n"/>
      <c r="F101" s="8" t="n"/>
      <c r="G101" s="12" t="n"/>
      <c r="H101" s="16" t="n"/>
      <c r="I101" s="17" t="n"/>
      <c r="J101" s="18">
        <f>IF($H101="","",ROUNDDOWN($H101*N($I101),0))</f>
        <v/>
      </c>
      <c r="K101" s="16" t="n"/>
      <c r="L101" s="16" t="n"/>
      <c r="M101" s="19">
        <f>IF($H101="","",$H101-N($J101)-N($K101)-N($L101))</f>
        <v/>
      </c>
      <c r="N101" s="18">
        <f>IF(OR($H101="",N($G101)=0),"",$H101/$G101)</f>
        <v/>
      </c>
      <c r="O101" s="8" t="n"/>
      <c r="P101" s="8" t="n"/>
    </row>
    <row r="103">
      <c r="A103" s="20" t="inlineStr">
        <is>
          <t>手数料率の例：メルカリの販売手数料（現在の料率はメルカリの公式情報で確認して入力）。直売・知人は0%</t>
        </is>
      </c>
    </row>
  </sheetData>
  <dataValidations count="4">
    <dataValidation sqref="D2:D101" showDropDown="0" showInputMessage="0" showErrorMessage="0" allowBlank="1" type="list">
      <formula1>"メルカリ,直売,知人,マルシェ,自社EC,その他"</formula1>
    </dataValidation>
    <dataValidation sqref="E2:E101" showDropDown="0" showInputMessage="0" showErrorMessage="0" allowBlank="1" type="list">
      <formula1>"生芋,焼き芋,干し芋,その他加工"</formula1>
    </dataValidation>
    <dataValidation sqref="F2:F101" showDropDown="0" showInputMessage="0" showErrorMessage="0" allowBlank="1" type="list">
      <formula1>"2L,L,M,S,規格外,混合"</formula1>
    </dataValidation>
    <dataValidation sqref="O2:O101" showDropDown="0" showInputMessage="0" showErrorMessage="0" allowBlank="1" type="list">
      <formula1>"★1,★2,★3,★4,★5"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畝比較（自動集計）</t>
        </is>
      </c>
    </row>
    <row r="2">
      <c r="A2" s="2" t="inlineStr">
        <is>
          <t>A畝（ネット購入の苗・日当たり良好）とB畝（コメリの苗・日当たりやや不利）の違いを見るための表です</t>
        </is>
      </c>
    </row>
    <row r="4">
      <c r="A4" s="21" t="inlineStr">
        <is>
          <t>項目</t>
        </is>
      </c>
      <c r="B4" s="21" t="inlineStr">
        <is>
          <t>A畝</t>
        </is>
      </c>
      <c r="C4" s="21" t="inlineStr">
        <is>
          <t>B畝</t>
        </is>
      </c>
      <c r="D4" s="21" t="inlineStr">
        <is>
          <t>差（A−B）</t>
        </is>
      </c>
    </row>
    <row r="5">
      <c r="A5" s="22" t="inlineStr">
        <is>
          <t>掘った株数</t>
        </is>
      </c>
      <c r="B5" s="14">
        <f>SUMIFS(収穫記録!$G$2:$G$101,収穫記録!$C$2:$C$101,B$4)</f>
        <v/>
      </c>
      <c r="C5" s="14">
        <f>SUMIFS(収穫記録!$G$2:$G$101,収穫記録!$C$2:$C$101,C$4)</f>
        <v/>
      </c>
      <c r="D5" s="14">
        <f>IF(OR(ISTEXT(B5),ISTEXT(C5)),"-",B5-C5)</f>
        <v/>
      </c>
    </row>
    <row r="6">
      <c r="A6" s="22" t="inlineStr">
        <is>
          <t>総収量（kg）</t>
        </is>
      </c>
      <c r="B6" s="23">
        <f>SUMIFS(収穫記録!$J$2:$J$101,収穫記録!$C$2:$C$101,B$4)</f>
        <v/>
      </c>
      <c r="C6" s="23">
        <f>SUMIFS(収穫記録!$J$2:$J$101,収穫記録!$C$2:$C$101,C$4)</f>
        <v/>
      </c>
      <c r="D6" s="23">
        <f>IF(OR(ISTEXT(B6),ISTEXT(C6)),"-",B6-C6)</f>
        <v/>
      </c>
    </row>
    <row r="7">
      <c r="A7" s="22" t="inlineStr">
        <is>
          <t>株あたり収量（kg）</t>
        </is>
      </c>
      <c r="B7" s="13">
        <f>IF(N(B5)=0,"-",B6/B5)</f>
        <v/>
      </c>
      <c r="C7" s="13">
        <f>IF(N(C5)=0,"-",C6/C5)</f>
        <v/>
      </c>
      <c r="D7" s="13">
        <f>IF(OR(ISTEXT(B7),ISTEXT(C7)),"-",B7-C7)</f>
        <v/>
      </c>
    </row>
    <row r="8">
      <c r="A8" s="22" t="inlineStr">
        <is>
          <t>合計本数</t>
        </is>
      </c>
      <c r="B8" s="14">
        <f>SUMIFS(収穫記録!$Q$2:$Q$101,収穫記録!$C$2:$C$101,B$4)</f>
        <v/>
      </c>
      <c r="C8" s="14">
        <f>SUMIFS(収穫記録!$Q$2:$Q$101,収穫記録!$C$2:$C$101,C$4)</f>
        <v/>
      </c>
      <c r="D8" s="14">
        <f>IF(OR(ISTEXT(B8),ISTEXT(C8)),"-",B8-C8)</f>
        <v/>
      </c>
    </row>
    <row r="9">
      <c r="A9" s="22" t="inlineStr">
        <is>
          <t>平均重量（g/本）</t>
        </is>
      </c>
      <c r="B9" s="14">
        <f>IF(N(B8)=0,"-",B6*1000/B8)</f>
        <v/>
      </c>
      <c r="C9" s="14">
        <f>IF(N(C8)=0,"-",C6*1000/C8)</f>
        <v/>
      </c>
      <c r="D9" s="14">
        <f>IF(OR(ISTEXT(B9),ISTEXT(C9)),"-",B9-C9)</f>
        <v/>
      </c>
    </row>
    <row r="10">
      <c r="A10" s="22" t="inlineStr">
        <is>
          <t>2L・L の割合</t>
        </is>
      </c>
      <c r="B10" s="15">
        <f>IF(N(B8)=0,"-",(SUMIFS(収穫記録!$L$2:$L$101,収穫記録!$C$2:$C$101,B$4)+SUMIFS(収穫記録!$M$2:$M$101,収穫記録!$C$2:$C$101,B$4))/B8)</f>
        <v/>
      </c>
      <c r="C10" s="15">
        <f>IF(N(C8)=0,"-",(SUMIFS(収穫記録!$L$2:$L$101,収穫記録!$C$2:$C$101,C$4)+SUMIFS(収穫記録!$M$2:$M$101,収穫記録!$C$2:$C$101,C$4))/C8)</f>
        <v/>
      </c>
      <c r="D10" s="15">
        <f>IF(OR(ISTEXT(B10),ISTEXT(C10)),"-",B10-C10)</f>
        <v/>
      </c>
    </row>
    <row r="11">
      <c r="A11" s="22" t="inlineStr">
        <is>
          <t>傷・割れ・虫害・病気 本数</t>
        </is>
      </c>
      <c r="B11" s="14">
        <f>SUMIFS(収穫記録!$S$2:$S$101,収穫記録!$C$2:$C$101,B$4)+SUMIFS(収穫記録!$T$2:$T$101,収穫記録!$C$2:$C$101,B$4)+SUMIFS(収穫記録!$U$2:$U$101,収穫記録!$C$2:$C$101,B$4)</f>
        <v/>
      </c>
      <c r="C11" s="14">
        <f>SUMIFS(収穫記録!$S$2:$S$101,収穫記録!$C$2:$C$101,C$4)+SUMIFS(収穫記録!$T$2:$T$101,収穫記録!$C$2:$C$101,C$4)+SUMIFS(収穫記録!$U$2:$U$101,収穫記録!$C$2:$C$101,C$4)</f>
        <v/>
      </c>
      <c r="D11" s="14">
        <f>IF(OR(ISTEXT(B11),ISTEXT(C11)),"-",B11-C11)</f>
        <v/>
      </c>
    </row>
    <row r="12">
      <c r="A12" s="22" t="inlineStr">
        <is>
          <t>良品率</t>
        </is>
      </c>
      <c r="B12" s="15">
        <f>IF(N(B8)=0,"-",MAX(0,B8-SUMIFS(収穫記録!$P$2:$P$101,収穫記録!$C$2:$C$101,B$4)-B11)/B8)</f>
        <v/>
      </c>
      <c r="C12" s="15">
        <f>IF(N(C8)=0,"-",MAX(0,C8-SUMIFS(収穫記録!$P$2:$P$101,収穫記録!$C$2:$C$101,C$4)-C11)/C8)</f>
        <v/>
      </c>
      <c r="D12" s="15">
        <f>IF(OR(ISTEXT(B12),ISTEXT(C12)),"-",B12-C12)</f>
        <v/>
      </c>
    </row>
    <row r="13">
      <c r="A13" s="22" t="inlineStr">
        <is>
          <t>売上（円）</t>
        </is>
      </c>
      <c r="B13" s="18">
        <f>SUMIFS(販売記録!$H$2:$H$101,販売記録!$C$2:$C$101,B$4)</f>
        <v/>
      </c>
      <c r="C13" s="18">
        <f>SUMIFS(販売記録!$H$2:$H$101,販売記録!$C$2:$C$101,C$4)</f>
        <v/>
      </c>
      <c r="D13" s="18">
        <f>IF(OR(ISTEXT(B13),ISTEXT(C13)),"-",B13-C13)</f>
        <v/>
      </c>
    </row>
    <row r="14">
      <c r="A14" s="22" t="inlineStr">
        <is>
          <t>利益（円）</t>
        </is>
      </c>
      <c r="B14" s="19">
        <f>SUMIFS(販売記録!$M$2:$M$101,販売記録!$C$2:$C$101,B$4)</f>
        <v/>
      </c>
      <c r="C14" s="19">
        <f>SUMIFS(販売記録!$M$2:$M$101,販売記録!$C$2:$C$101,C$4)</f>
        <v/>
      </c>
      <c r="D14" s="19">
        <f>IF(OR(ISTEXT(B14),ISTEXT(C14)),"-",B14-C14)</f>
        <v/>
      </c>
    </row>
    <row r="17">
      <c r="A17" s="20" t="inlineStr">
        <is>
          <t>読み方：A畝とB畝は苗の入手先と日当たりの2つが違うため、差が出てもどちらが原因かは切り分けられません。来年は条件を1つだけ変えると原因がわかります。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2026-09-29T01:17:11Z</dcterms:created>
  <dcterms:modified xsi:type="dcterms:W3CDTF">2026-09-29T01:17:11Z</dcterms:modified>
</cp:coreProperties>
</file>